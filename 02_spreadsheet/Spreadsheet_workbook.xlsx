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97BDC63-CAC0-43D3-8BE4-DBFDCD4A4C16}" xr6:coauthVersionLast="47" xr6:coauthVersionMax="47" xr10:uidLastSave="{00000000-0000-0000-0000-000000000000}"/>
  <bookViews>
    <workbookView xWindow="-108" yWindow="-108" windowWidth="23256" windowHeight="12456" xr2:uid="{32329D8D-0C7B-4F90-8787-6F8B79A2D4A3}"/>
  </bookViews>
  <sheets>
    <sheet name="transactions_raw" sheetId="1" r:id="rId1"/>
    <sheet name="merchant_master" sheetId="2" r:id="rId2"/>
    <sheet name="exchange_rates" sheetId="3" r:id="rId3"/>
    <sheet name="Insights" sheetId="4" r:id="rId4"/>
  </sheets>
  <definedNames>
    <definedName name="_xlnm._FilterDatabase" localSheetId="0" hidden="1">transactions_raw!$A$1:$V$1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T3" i="1"/>
  <c r="T7" i="1"/>
  <c r="T11" i="1"/>
  <c r="T15" i="1"/>
  <c r="T19" i="1"/>
  <c r="T23" i="1"/>
  <c r="T27" i="1"/>
  <c r="T31" i="1"/>
  <c r="T2" i="1"/>
  <c r="V3" i="1"/>
  <c r="V7" i="1"/>
  <c r="V11" i="1"/>
  <c r="V15" i="1"/>
  <c r="V19" i="1"/>
  <c r="V23" i="1"/>
  <c r="V27" i="1"/>
  <c r="V31" i="1"/>
  <c r="V2" i="1"/>
  <c r="U3" i="1"/>
  <c r="U7" i="1"/>
  <c r="U11" i="1"/>
  <c r="U15" i="1"/>
  <c r="U19" i="1"/>
  <c r="U23" i="1"/>
  <c r="U27" i="1"/>
  <c r="U31" i="1"/>
  <c r="U2" i="1"/>
  <c r="S17" i="1"/>
  <c r="S25" i="1"/>
  <c r="R3" i="1"/>
  <c r="R4" i="1"/>
  <c r="R5" i="1"/>
  <c r="R7" i="1"/>
  <c r="R8" i="1"/>
  <c r="R11" i="1"/>
  <c r="R19" i="1"/>
  <c r="R21" i="1"/>
  <c r="R29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R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R28" i="1" s="1"/>
  <c r="Q29" i="1" a="1"/>
  <c r="Q29" i="1" s="1"/>
  <c r="Q30" i="1" a="1"/>
  <c r="Q30" i="1" s="1"/>
  <c r="R30" i="1" s="1"/>
  <c r="Q31" i="1" a="1"/>
  <c r="Q31" i="1" s="1"/>
  <c r="Q2" i="1" a="1"/>
  <c r="Q2" i="1" s="1"/>
  <c r="P4" i="1"/>
  <c r="P5" i="1"/>
  <c r="P8" i="1"/>
  <c r="P10" i="1"/>
  <c r="R10" i="1" s="1"/>
  <c r="P13" i="1"/>
  <c r="R13" i="1" s="1"/>
  <c r="P14" i="1"/>
  <c r="R14" i="1" s="1"/>
  <c r="P15" i="1"/>
  <c r="R15" i="1" s="1"/>
  <c r="P18" i="1"/>
  <c r="R18" i="1" s="1"/>
  <c r="P19" i="1"/>
  <c r="P20" i="1"/>
  <c r="P21" i="1"/>
  <c r="P23" i="1"/>
  <c r="R23" i="1" s="1"/>
  <c r="P24" i="1"/>
  <c r="R24" i="1" s="1"/>
  <c r="P25" i="1"/>
  <c r="R25" i="1" s="1"/>
  <c r="P26" i="1"/>
  <c r="R26" i="1" s="1"/>
  <c r="P27" i="1"/>
  <c r="R27" i="1" s="1"/>
  <c r="P28" i="1"/>
  <c r="P29" i="1"/>
  <c r="P30" i="1"/>
  <c r="P31" i="1"/>
  <c r="R31" i="1" s="1"/>
  <c r="P2" i="1"/>
  <c r="R2" i="1" s="1"/>
  <c r="O3" i="1"/>
  <c r="S3" i="1" s="1"/>
  <c r="O4" i="1"/>
  <c r="S4" i="1" s="1"/>
  <c r="O5" i="1"/>
  <c r="S5" i="1" s="1"/>
  <c r="O6" i="1"/>
  <c r="O7" i="1"/>
  <c r="O8" i="1"/>
  <c r="O9" i="1"/>
  <c r="S9" i="1" s="1"/>
  <c r="O10" i="1"/>
  <c r="S10" i="1" s="1"/>
  <c r="O11" i="1"/>
  <c r="S11" i="1" s="1"/>
  <c r="O13" i="1"/>
  <c r="S13" i="1" s="1"/>
  <c r="O14" i="1"/>
  <c r="S14" i="1" s="1"/>
  <c r="O15" i="1"/>
  <c r="O16" i="1"/>
  <c r="O17" i="1"/>
  <c r="O18" i="1"/>
  <c r="S18" i="1" s="1"/>
  <c r="O19" i="1"/>
  <c r="S19" i="1" s="1"/>
  <c r="O20" i="1"/>
  <c r="S20" i="1" s="1"/>
  <c r="O21" i="1"/>
  <c r="S21" i="1" s="1"/>
  <c r="O22" i="1"/>
  <c r="S22" i="1" s="1"/>
  <c r="O23" i="1"/>
  <c r="O24" i="1"/>
  <c r="O25" i="1"/>
  <c r="O26" i="1"/>
  <c r="S26" i="1" s="1"/>
  <c r="O27" i="1"/>
  <c r="S27" i="1" s="1"/>
  <c r="O28" i="1"/>
  <c r="S28" i="1" s="1"/>
  <c r="O29" i="1"/>
  <c r="S29" i="1" s="1"/>
  <c r="O30" i="1"/>
  <c r="S30" i="1" s="1"/>
  <c r="O31" i="1"/>
  <c r="O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2" i="1"/>
  <c r="N2" i="1" s="1"/>
  <c r="K3" i="1"/>
  <c r="L3" i="1"/>
  <c r="P3" i="1" s="1"/>
  <c r="K4" i="1"/>
  <c r="L4" i="1"/>
  <c r="U4" i="1" s="1"/>
  <c r="K5" i="1"/>
  <c r="L5" i="1"/>
  <c r="U5" i="1" s="1"/>
  <c r="K6" i="1"/>
  <c r="L6" i="1"/>
  <c r="P6" i="1" s="1"/>
  <c r="R6" i="1" s="1"/>
  <c r="K7" i="1"/>
  <c r="L7" i="1"/>
  <c r="P7" i="1" s="1"/>
  <c r="K8" i="1"/>
  <c r="L8" i="1"/>
  <c r="V8" i="1" s="1"/>
  <c r="K9" i="1"/>
  <c r="L9" i="1"/>
  <c r="P9" i="1" s="1"/>
  <c r="R9" i="1" s="1"/>
  <c r="K10" i="1"/>
  <c r="L10" i="1"/>
  <c r="U10" i="1" s="1"/>
  <c r="K11" i="1"/>
  <c r="L11" i="1"/>
  <c r="P11" i="1" s="1"/>
  <c r="K12" i="1"/>
  <c r="L12" i="1"/>
  <c r="P12" i="1" s="1"/>
  <c r="R12" i="1" s="1"/>
  <c r="K13" i="1"/>
  <c r="L13" i="1"/>
  <c r="U13" i="1" s="1"/>
  <c r="K14" i="1"/>
  <c r="L14" i="1"/>
  <c r="T14" i="1" s="1"/>
  <c r="K15" i="1"/>
  <c r="L15" i="1"/>
  <c r="K16" i="1"/>
  <c r="L16" i="1"/>
  <c r="P16" i="1" s="1"/>
  <c r="R16" i="1" s="1"/>
  <c r="K17" i="1"/>
  <c r="L17" i="1"/>
  <c r="P17" i="1" s="1"/>
  <c r="R17" i="1" s="1"/>
  <c r="K18" i="1"/>
  <c r="L18" i="1"/>
  <c r="U18" i="1" s="1"/>
  <c r="K19" i="1"/>
  <c r="L19" i="1"/>
  <c r="K20" i="1"/>
  <c r="L20" i="1"/>
  <c r="U20" i="1" s="1"/>
  <c r="K21" i="1"/>
  <c r="L21" i="1"/>
  <c r="U21" i="1" s="1"/>
  <c r="K22" i="1"/>
  <c r="L22" i="1"/>
  <c r="P22" i="1" s="1"/>
  <c r="R22" i="1" s="1"/>
  <c r="K23" i="1"/>
  <c r="L23" i="1"/>
  <c r="K24" i="1"/>
  <c r="L24" i="1"/>
  <c r="V24" i="1" s="1"/>
  <c r="K25" i="1"/>
  <c r="L25" i="1"/>
  <c r="V25" i="1" s="1"/>
  <c r="K26" i="1"/>
  <c r="L26" i="1"/>
  <c r="U26" i="1" s="1"/>
  <c r="K27" i="1"/>
  <c r="L27" i="1"/>
  <c r="K28" i="1"/>
  <c r="L28" i="1"/>
  <c r="U28" i="1" s="1"/>
  <c r="K29" i="1"/>
  <c r="L29" i="1"/>
  <c r="U29" i="1" s="1"/>
  <c r="K30" i="1"/>
  <c r="L30" i="1"/>
  <c r="T30" i="1" s="1"/>
  <c r="K31" i="1"/>
  <c r="L31" i="1"/>
  <c r="L2" i="1"/>
  <c r="K2" i="1"/>
  <c r="U25" i="1" l="1"/>
  <c r="U17" i="1"/>
  <c r="U9" i="1"/>
  <c r="T29" i="1"/>
  <c r="T21" i="1"/>
  <c r="T13" i="1"/>
  <c r="T5" i="1"/>
  <c r="U24" i="1"/>
  <c r="U16" i="1"/>
  <c r="U8" i="1"/>
  <c r="V30" i="1"/>
  <c r="V22" i="1"/>
  <c r="V14" i="1"/>
  <c r="V6" i="1"/>
  <c r="T28" i="1"/>
  <c r="T20" i="1"/>
  <c r="T12" i="1"/>
  <c r="T4" i="1"/>
  <c r="V29" i="1"/>
  <c r="V21" i="1"/>
  <c r="V13" i="1"/>
  <c r="V5" i="1"/>
  <c r="S2" i="1"/>
  <c r="S24" i="1"/>
  <c r="S16" i="1"/>
  <c r="S8" i="1"/>
  <c r="U30" i="1"/>
  <c r="U22" i="1"/>
  <c r="U14" i="1"/>
  <c r="U6" i="1"/>
  <c r="V28" i="1"/>
  <c r="V20" i="1"/>
  <c r="V12" i="1"/>
  <c r="V4" i="1"/>
  <c r="T26" i="1"/>
  <c r="T18" i="1"/>
  <c r="T10" i="1"/>
  <c r="S31" i="1"/>
  <c r="S23" i="1"/>
  <c r="S15" i="1"/>
  <c r="S7" i="1"/>
  <c r="T25" i="1"/>
  <c r="T17" i="1"/>
  <c r="T9" i="1"/>
  <c r="S6" i="1"/>
  <c r="U12" i="1"/>
  <c r="V26" i="1"/>
  <c r="V18" i="1"/>
  <c r="V10" i="1"/>
  <c r="T24" i="1"/>
  <c r="T16" i="1"/>
  <c r="T8" i="1"/>
  <c r="V17" i="1"/>
  <c r="V9" i="1"/>
  <c r="S12" i="1"/>
  <c r="V16" i="1"/>
  <c r="T22" i="1"/>
  <c r="T6" i="1"/>
</calcChain>
</file>

<file path=xl/sharedStrings.xml><?xml version="1.0" encoding="utf-8"?>
<sst xmlns="http://schemas.openxmlformats.org/spreadsheetml/2006/main" count="311" uniqueCount="137">
  <si>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</si>
  <si>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</si>
  <si>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</si>
  <si>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</si>
  <si>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</si>
  <si>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</si>
  <si>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</si>
  <si>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</si>
  <si>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</si>
  <si>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</si>
  <si>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</si>
  <si>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</si>
  <si>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</si>
  <si>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</si>
  <si>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</si>
  <si>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</si>
  <si>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</si>
  <si>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</si>
  <si>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</si>
  <si>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</si>
  <si>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</si>
  <si>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</si>
  <si>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</si>
  <si>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</si>
  <si>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</si>
  <si>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</si>
  <si>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</si>
  <si>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</si>
  <si>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</si>
  <si>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</si>
  <si>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</si>
  <si>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</si>
  <si>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</si>
  <si>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</si>
  <si>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</si>
  <si>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</si>
  <si>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</si>
  <si>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</si>
  <si>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</si>
  <si>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</si>
  <si>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</si>
  <si>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</si>
  <si>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</si>
  <si>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</si>
  <si>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</si>
  <si>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</si>
  <si>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</si>
  <si>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</si>
  <si>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</si>
  <si>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</si>
  <si>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</si>
  <si>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</si>
  <si>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</si>
  <si>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</si>
  <si>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</si>
  <si>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</si>
  <si>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</si>
  <si>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</si>
  <si>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</si>
  <si>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</si>
  <si>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</si>
  <si>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</si>
  <si>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</si>
  <si>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</si>
  <si>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</si>
  <si>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</si>
  <si>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</si>
  <si>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</si>
  <si>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</si>
  <si>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</si>
  <si>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</si>
  <si>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</si>
  <si>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</si>
  <si>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</si>
  <si>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</si>
  <si>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</si>
  <si>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</si>
  <si>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</si>
  <si>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</si>
  <si>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</si>
  <si>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</si>
  <si>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</si>
  <si>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</si>
  <si>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</si>
  <si>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</si>
  <si>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</si>
  <si>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</si>
  <si>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</si>
  <si>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</si>
  <si>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</si>
  <si>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</si>
  <si>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</si>
  <si>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</si>
  <si>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</si>
  <si>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</si>
  <si>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</si>
  <si>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</si>
  <si>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</si>
  <si>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</si>
  <si>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</si>
  <si>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</si>
  <si>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</si>
  <si>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</si>
  <si>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</si>
  <si>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</si>
  <si>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</si>
  <si>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</si>
  <si>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</si>
  <si>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</si>
  <si>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</si>
  <si>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</si>
  <si>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</si>
  <si>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</si>
  <si>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</si>
  <si>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</si>
  <si>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</si>
  <si>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</si>
  <si>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</si>
  <si>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</si>
  <si>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</si>
  <si>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</si>
  <si>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</si>
  <si>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</si>
  <si>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</si>
  <si>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rate_date</t>
  </si>
  <si>
    <t>usd_rate</t>
  </si>
  <si>
    <t>status_NEW</t>
  </si>
  <si>
    <t>transactions_amount_usd</t>
  </si>
  <si>
    <t>high_value_flag</t>
  </si>
  <si>
    <t>high_risk_flag</t>
  </si>
  <si>
    <t>Row Labels</t>
  </si>
  <si>
    <t>Grand Total</t>
  </si>
  <si>
    <t>Sum of transactions_amount_usd</t>
  </si>
  <si>
    <t>Count of transactions_amount_usd</t>
  </si>
  <si>
    <t>Average of risk_score2</t>
  </si>
  <si>
    <t>Sum of high_value_flag</t>
  </si>
  <si>
    <t>Sum of high_risk_flag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</si>
</sst>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1.79507511574" createdVersion="8" refreshedVersion="8" minRefreshableVersion="3" recordCount="30" xr:uid="{1986C45A-4113-44BD-B032-C397CDB4D6A9}">
  <cacheSource type="worksheet">
    <worksheetSource ref="A1:V31" sheet="transactions_raw"/>
  </cacheSource>
  <cacheFields count="23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11">
        <s v=" alpha mart "/>
        <s v="ALPHA MART"/>
        <s v="BETA STORES "/>
        <s v="Beta  Stores"/>
        <s v="Alpha  Mart"/>
        <s v="Beta Stores"/>
        <s v=" beta stores"/>
        <s v="City Pharma"/>
        <s v="Eco Home"/>
        <s v="DELTA TRAVELS"/>
        <s v="delta travels "/>
      </sharedItems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/>
    </cacheField>
    <cacheField name="risk_score" numFmtId="0">
      <sharedItems containsBlank="1" containsMixedTypes="1" containsNumber="1" containsInteger="1" minValue="38" maxValue="75"/>
    </cacheField>
    <cacheField name="gateway_region" numFmtId="0">
      <sharedItems containsBlank="1"/>
    </cacheField>
    <cacheField name="user_id" numFmtId="0">
      <sharedItems/>
    </cacheField>
    <cacheField name="payment_method" numFmtId="0">
      <sharedItems/>
    </cacheField>
    <cacheField name="transaction_date2" numFmtId="0">
      <sharedItems/>
    </cacheField>
    <cacheField name="merchant_name2" numFmtId="0">
      <sharedItems count="5">
        <s v="Alpha Mart"/>
        <s v="Beta Stores"/>
        <s v="City Pharma"/>
        <s v="Eco Home"/>
        <s v="Delta Travels"/>
      </sharedItems>
    </cacheField>
    <cacheField name="status2" numFmtId="0">
      <sharedItems/>
    </cacheField>
    <cacheField name="status_NEW" numFmtId="0">
      <sharedItems count="3">
        <s v="captured"/>
        <s v="failed"/>
        <s v="chargeback"/>
      </sharedItems>
    </cacheField>
    <cacheField name="risk_score2" numFmtId="0">
      <sharedItems containsString="0" containsBlank="1" containsNumber="1" containsInteger="1" minValue="38" maxValue="86"/>
    </cacheField>
    <cacheField name="gateway_region2" numFmtId="0">
      <sharedItems/>
    </cacheField>
    <cacheField name="transactions_amount_usd" numFmtId="0">
      <sharedItems containsSemiMixedTypes="0" containsString="0" containsNumber="1" minValue="1512.5" maxValue="7381"/>
    </cacheField>
    <cacheField name="high_value_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  <cacheField name="merchant_id" numFmtId="0">
      <sharedItems/>
    </cacheField>
    <cacheField name="account_manager" numFmtId="0">
      <sharedItems/>
    </cacheField>
    <cacheField name="merchant_category" numFmtId="0">
      <sharedItems/>
    </cacheField>
    <cacheField name="Total USD Amount per Merchant" numFmtId="0">
      <sharedItems containsSemiMixedTypes="0" containsString="0" containsNumber="1" minValue="8640" maxValue="417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x v="0"/>
    <n v="420000"/>
    <s v="INR"/>
    <s v="captured"/>
    <s v="score:62"/>
    <s v="APAC"/>
    <s v="U001"/>
    <s v="UPI"/>
    <s v="2026-03-01"/>
    <x v="0"/>
    <s v="Captured"/>
    <x v="0"/>
    <n v="62"/>
    <s v="APAC"/>
    <n v="4998"/>
    <n v="0"/>
    <n v="0"/>
    <s v="M001"/>
    <s v="Aisha Khan"/>
    <s v="Grocery"/>
    <n v="40812"/>
  </r>
  <r>
    <s v="T002"/>
    <d v="2026-03-01T00:00:00"/>
    <x v="1"/>
    <n v="210000"/>
    <s v="INR"/>
    <s v="Captured "/>
    <n v="55"/>
    <m/>
    <s v="U002"/>
    <s v="Card"/>
    <s v="2026-03-01"/>
    <x v="0"/>
    <s v="Captured"/>
    <x v="0"/>
    <n v="55"/>
    <s v="APAC"/>
    <n v="2499"/>
    <n v="0"/>
    <n v="0"/>
    <s v="M001"/>
    <s v="Aisha Khan"/>
    <s v="Grocery"/>
    <n v="40812"/>
  </r>
  <r>
    <s v="T003"/>
    <d v="2026-03-01T00:00:00"/>
    <x v="2"/>
    <n v="510000"/>
    <s v="INR"/>
    <s v=" CAPTURED"/>
    <n v="71"/>
    <s v=" APAC "/>
    <s v="U003"/>
    <s v="NetBanking"/>
    <s v="2026-03-01"/>
    <x v="1"/>
    <s v="Captured"/>
    <x v="0"/>
    <n v="71"/>
    <s v="APAC"/>
    <n v="6069"/>
    <n v="1"/>
    <n v="1"/>
    <s v="M002"/>
    <s v="Rohan Mehta"/>
    <s v="Electronics"/>
    <n v="41782"/>
  </r>
  <r>
    <s v="T004"/>
    <d v="2026-03-02T00:00:00"/>
    <x v="3"/>
    <n v="160000"/>
    <s v="INR"/>
    <s v=" failed e05 timeout "/>
    <n v="68"/>
    <s v="APAC"/>
    <s v="U004"/>
    <s v="Card"/>
    <s v="2026-03-02"/>
    <x v="1"/>
    <s v="Failed E05 Timeout"/>
    <x v="1"/>
    <n v="68"/>
    <s v="APAC"/>
    <n v="1920"/>
    <n v="0"/>
    <n v="0"/>
    <s v="M002"/>
    <s v="Rohan Mehta"/>
    <s v="Electronics"/>
    <n v="41782"/>
  </r>
  <r>
    <s v="T005"/>
    <d v="2026-03-02T00:00:00"/>
    <x v="1"/>
    <n v="390000"/>
    <s v="INR"/>
    <s v=" CAPTURED"/>
    <n v="58"/>
    <m/>
    <s v="U001"/>
    <s v="UPI"/>
    <s v="2026-03-02"/>
    <x v="0"/>
    <s v="Captured"/>
    <x v="0"/>
    <n v="58"/>
    <s v="APAC"/>
    <n v="4680"/>
    <n v="0"/>
    <n v="0"/>
    <s v="M001"/>
    <s v="Aisha Khan"/>
    <s v="Grocery"/>
    <n v="40812"/>
  </r>
  <r>
    <s v="T006"/>
    <d v="2026-03-02T00:00:00"/>
    <x v="3"/>
    <n v="275000"/>
    <s v="INR"/>
    <s v="Captured "/>
    <s v="score:64"/>
    <m/>
    <s v="U005"/>
    <s v="Wallet"/>
    <s v="2026-03-02"/>
    <x v="1"/>
    <s v="Captured"/>
    <x v="0"/>
    <n v="64"/>
    <s v="APAC"/>
    <n v="3300"/>
    <n v="0"/>
    <n v="0"/>
    <s v="M002"/>
    <s v="Rohan Mehta"/>
    <s v="Electronics"/>
    <n v="41782"/>
  </r>
  <r>
    <s v="T007"/>
    <d v="2026-03-02T00:00:00"/>
    <x v="4"/>
    <n v="450000"/>
    <s v="INR"/>
    <s v="chargeback"/>
    <s v="risk-83"/>
    <s v=" APAC "/>
    <s v="U006"/>
    <s v="Card"/>
    <s v="2026-03-02"/>
    <x v="0"/>
    <s v="Chargeback"/>
    <x v="2"/>
    <n v="83"/>
    <s v="APAC"/>
    <n v="5400"/>
    <n v="1"/>
    <n v="1"/>
    <s v="M001"/>
    <s v="Aisha Khan"/>
    <s v="Grocery"/>
    <n v="40812"/>
  </r>
  <r>
    <s v="T008"/>
    <d v="2026-03-03T00:00:00"/>
    <x v="2"/>
    <n v="340000"/>
    <s v="INR"/>
    <s v="Captured "/>
    <n v="59"/>
    <m/>
    <s v="U007"/>
    <s v="UPI"/>
    <s v="2026-03-03"/>
    <x v="1"/>
    <s v="Captured"/>
    <x v="0"/>
    <n v="59"/>
    <s v="APAC"/>
    <n v="4114"/>
    <n v="0"/>
    <n v="0"/>
    <s v="M002"/>
    <s v="Rohan Mehta"/>
    <s v="Electronics"/>
    <n v="41782"/>
  </r>
  <r>
    <s v="T009"/>
    <d v="2026-03-03T00:00:00"/>
    <x v="1"/>
    <n v="125000"/>
    <s v="INR"/>
    <s v="captured"/>
    <n v="46"/>
    <s v="APAC"/>
    <s v="U002"/>
    <s v="Wallet"/>
    <s v="2026-03-03"/>
    <x v="0"/>
    <s v="Captured"/>
    <x v="0"/>
    <n v="46"/>
    <s v="APAC"/>
    <n v="1512.5"/>
    <n v="0"/>
    <n v="0"/>
    <s v="M001"/>
    <s v="Aisha Khan"/>
    <s v="Grocery"/>
    <n v="40812"/>
  </r>
  <r>
    <s v="T010"/>
    <d v="2026-03-03T00:00:00"/>
    <x v="5"/>
    <n v="610000"/>
    <s v="INR"/>
    <s v="captured"/>
    <s v="risk-77"/>
    <m/>
    <s v="U003"/>
    <s v="Card"/>
    <s v="2026-03-03"/>
    <x v="1"/>
    <s v="Captured"/>
    <x v="0"/>
    <n v="77"/>
    <s v="APAC"/>
    <n v="7381"/>
    <n v="1"/>
    <n v="1"/>
    <s v="M002"/>
    <s v="Rohan Mehta"/>
    <s v="Electronics"/>
    <n v="41782"/>
  </r>
  <r>
    <s v="T011"/>
    <d v="2026-03-03T00:00:00"/>
    <x v="4"/>
    <n v="195000"/>
    <s v="INR"/>
    <s v="FAILED e05 TIMEOUT"/>
    <m/>
    <m/>
    <s v="U008"/>
    <s v="UPI"/>
    <s v="2026-03-03"/>
    <x v="0"/>
    <s v="Failed E05 Timeout"/>
    <x v="1"/>
    <m/>
    <s v="APAC"/>
    <n v="2359.5"/>
    <n v="0"/>
    <n v="0"/>
    <s v="M001"/>
    <s v="Aisha Khan"/>
    <s v="Grocery"/>
    <n v="40812"/>
  </r>
  <r>
    <s v="T012"/>
    <d v="2026-03-04T00:00:00"/>
    <x v="3"/>
    <n v="250000"/>
    <s v="INR"/>
    <s v="Captured "/>
    <s v="risk-61"/>
    <s v=" APAC "/>
    <s v="U009"/>
    <s v="Card"/>
    <s v="2026-03-04"/>
    <x v="1"/>
    <s v="Captured"/>
    <x v="0"/>
    <n v="61"/>
    <s v="APAC"/>
    <n v="3000"/>
    <n v="0"/>
    <n v="0"/>
    <s v="M002"/>
    <s v="Rohan Mehta"/>
    <s v="Electronics"/>
    <n v="41782"/>
  </r>
  <r>
    <s v="T013"/>
    <d v="2026-03-04T00:00:00"/>
    <x v="0"/>
    <n v="310000"/>
    <s v="INR"/>
    <s v="Captured "/>
    <s v="score:54"/>
    <s v="APAC"/>
    <s v="U010"/>
    <s v="UPI"/>
    <s v="2026-03-04"/>
    <x v="0"/>
    <s v="Captured"/>
    <x v="0"/>
    <n v="54"/>
    <s v="APAC"/>
    <n v="3720"/>
    <n v="0"/>
    <n v="0"/>
    <s v="M001"/>
    <s v="Aisha Khan"/>
    <s v="Grocery"/>
    <n v="40812"/>
  </r>
  <r>
    <s v="T014"/>
    <d v="2026-03-04T00:00:00"/>
    <x v="3"/>
    <n v="470000"/>
    <s v="INR"/>
    <s v="Captured "/>
    <s v="risk-73"/>
    <s v="APAC"/>
    <s v="U001"/>
    <s v="NetBanking"/>
    <s v="2026-03-04"/>
    <x v="1"/>
    <s v="Captured"/>
    <x v="0"/>
    <n v="73"/>
    <s v="APAC"/>
    <n v="5640"/>
    <n v="1"/>
    <n v="1"/>
    <s v="M002"/>
    <s v="Rohan Mehta"/>
    <s v="Electronics"/>
    <n v="41782"/>
  </r>
  <r>
    <s v="T015"/>
    <d v="2026-03-04T00:00:00"/>
    <x v="1"/>
    <n v="130000"/>
    <s v="INR"/>
    <s v="captured"/>
    <s v="score:52"/>
    <m/>
    <s v="U002"/>
    <s v="Card"/>
    <s v="2026-03-04"/>
    <x v="0"/>
    <s v="Captured"/>
    <x v="0"/>
    <n v="52"/>
    <s v="APAC"/>
    <n v="1560"/>
    <n v="0"/>
    <n v="0"/>
    <s v="M001"/>
    <s v="Aisha Khan"/>
    <s v="Grocery"/>
    <n v="40812"/>
  </r>
  <r>
    <s v="T016"/>
    <d v="2026-03-05T00:00:00"/>
    <x v="3"/>
    <n v="220000"/>
    <s v="INR"/>
    <s v="FAILED e05 TIMEOUT"/>
    <s v="risk-69"/>
    <m/>
    <s v="U008"/>
    <s v="Card"/>
    <s v="2026-03-05"/>
    <x v="1"/>
    <s v="Failed E05 Timeout"/>
    <x v="1"/>
    <n v="69"/>
    <s v="APAC"/>
    <n v="2596"/>
    <n v="0"/>
    <n v="0"/>
    <s v="M002"/>
    <s v="Rohan Mehta"/>
    <s v="Electronics"/>
    <n v="41782"/>
  </r>
  <r>
    <s v="T017"/>
    <d v="2026-03-05T00:00:00"/>
    <x v="3"/>
    <n v="180000"/>
    <s v="INR"/>
    <s v="FAILED e05 TIMEOUT"/>
    <s v="score:72"/>
    <s v="APAC"/>
    <s v="U008"/>
    <s v="Card"/>
    <s v="2026-03-05"/>
    <x v="1"/>
    <s v="Failed E05 Timeout"/>
    <x v="1"/>
    <n v="72"/>
    <s v="APAC"/>
    <n v="2124"/>
    <n v="0"/>
    <n v="1"/>
    <s v="M002"/>
    <s v="Rohan Mehta"/>
    <s v="Electronics"/>
    <n v="41782"/>
  </r>
  <r>
    <s v="T018"/>
    <d v="2026-03-05T00:00:00"/>
    <x v="2"/>
    <n v="145000"/>
    <s v="INR"/>
    <s v=" chargeback "/>
    <s v="risk-86"/>
    <s v=" APAC "/>
    <s v="U008"/>
    <s v="UPI"/>
    <s v="2026-03-05"/>
    <x v="1"/>
    <s v="Chargeback"/>
    <x v="2"/>
    <n v="86"/>
    <s v="APAC"/>
    <n v="1711"/>
    <n v="0"/>
    <n v="1"/>
    <s v="M002"/>
    <s v="Rohan Mehta"/>
    <s v="Electronics"/>
    <n v="41782"/>
  </r>
  <r>
    <s v="T019"/>
    <d v="2026-03-05T00:00:00"/>
    <x v="4"/>
    <n v="260000"/>
    <s v="INR"/>
    <s v="FAILED e05 TIMEOUT"/>
    <s v="score:67"/>
    <s v="APAC"/>
    <s v="U008"/>
    <s v="Wallet"/>
    <s v="2026-03-05"/>
    <x v="0"/>
    <s v="Failed E05 Timeout"/>
    <x v="1"/>
    <n v="67"/>
    <s v="APAC"/>
    <n v="3068"/>
    <n v="0"/>
    <n v="0"/>
    <s v="M001"/>
    <s v="Aisha Khan"/>
    <s v="Grocery"/>
    <n v="40812"/>
  </r>
  <r>
    <s v="T020"/>
    <d v="2026-03-05T00:00:00"/>
    <x v="1"/>
    <n v="520000"/>
    <s v="INR"/>
    <s v="Captured "/>
    <n v="75"/>
    <s v="APAC"/>
    <s v="U005"/>
    <s v="UPI"/>
    <s v="2026-03-05"/>
    <x v="0"/>
    <s v="Captured"/>
    <x v="0"/>
    <n v="75"/>
    <s v="APAC"/>
    <n v="6136"/>
    <n v="1"/>
    <n v="1"/>
    <s v="M001"/>
    <s v="Aisha Khan"/>
    <s v="Grocery"/>
    <n v="40812"/>
  </r>
  <r>
    <s v="T021"/>
    <d v="2026-03-06T00:00:00"/>
    <x v="6"/>
    <n v="330000"/>
    <s v="INR"/>
    <s v="Captured "/>
    <s v="score:63"/>
    <m/>
    <s v="U006"/>
    <s v="Card"/>
    <s v="2026-03-06"/>
    <x v="1"/>
    <s v="Captured"/>
    <x v="0"/>
    <n v="63"/>
    <s v="APAC"/>
    <n v="3927.0000000000005"/>
    <n v="0"/>
    <n v="0"/>
    <s v="M002"/>
    <s v="Rohan Mehta"/>
    <s v="Electronics"/>
    <n v="41782"/>
  </r>
  <r>
    <s v="T022"/>
    <d v="2026-03-06T00:00:00"/>
    <x v="1"/>
    <n v="410000"/>
    <s v="INR"/>
    <s v="Captured "/>
    <n v="60"/>
    <s v="APAC"/>
    <s v="U007"/>
    <s v="UPI"/>
    <s v="2026-03-06"/>
    <x v="0"/>
    <s v="Captured"/>
    <x v="0"/>
    <n v="60"/>
    <s v="APAC"/>
    <n v="4879"/>
    <n v="0"/>
    <n v="0"/>
    <s v="M001"/>
    <s v="Aisha Khan"/>
    <s v="Grocery"/>
    <n v="40812"/>
  </r>
  <r>
    <s v="T023"/>
    <d v="2026-03-01T00:00:00"/>
    <x v="7"/>
    <n v="5200"/>
    <s v="EUR"/>
    <s v="Captured "/>
    <n v="42"/>
    <s v=" EU "/>
    <s v="U003"/>
    <s v="Card"/>
    <s v="2026-03-01"/>
    <x v="2"/>
    <s v="Captured"/>
    <x v="0"/>
    <n v="42"/>
    <s v="EU"/>
    <n v="5616"/>
    <n v="0"/>
    <n v="0"/>
    <s v="M003"/>
    <s v="Elena Rossi"/>
    <s v="Healthcare"/>
    <n v="8640"/>
  </r>
  <r>
    <s v="T024"/>
    <d v="2026-03-02T00:00:00"/>
    <x v="8"/>
    <n v="6100"/>
    <s v="EUR"/>
    <s v=" chargeback "/>
    <s v="score:65"/>
    <s v="EU"/>
    <s v="U004"/>
    <s v="Card"/>
    <s v="2026-03-02"/>
    <x v="3"/>
    <s v="Chargeback"/>
    <x v="2"/>
    <n v="65"/>
    <s v="EU"/>
    <n v="6649.0000000000009"/>
    <n v="1"/>
    <n v="1"/>
    <s v="M005"/>
    <s v="Nina Weber"/>
    <s v="Home"/>
    <n v="10246.000000000002"/>
  </r>
  <r>
    <s v="T025"/>
    <d v="2026-03-03T00:00:00"/>
    <x v="7"/>
    <n v="2800"/>
    <s v="EUR"/>
    <s v="Captured "/>
    <n v="38"/>
    <s v="EU"/>
    <s v="U005"/>
    <s v="Wallet"/>
    <s v="2026-03-03"/>
    <x v="2"/>
    <s v="Captured"/>
    <x v="0"/>
    <n v="38"/>
    <s v="EU"/>
    <n v="3024"/>
    <n v="0"/>
    <n v="0"/>
    <s v="M003"/>
    <s v="Elena Rossi"/>
    <s v="Healthcare"/>
    <n v="8640"/>
  </r>
  <r>
    <s v="T026"/>
    <d v="2026-03-05T00:00:00"/>
    <x v="8"/>
    <n v="3300"/>
    <s v="EUR"/>
    <s v="FAILED e05 TIMEOUT"/>
    <n v="44"/>
    <s v=" EU "/>
    <s v="U006"/>
    <s v="NetBanking"/>
    <s v="2026-03-05"/>
    <x v="3"/>
    <s v="Failed E05 Timeout"/>
    <x v="1"/>
    <n v="44"/>
    <s v="EU"/>
    <n v="3597.0000000000005"/>
    <n v="0"/>
    <n v="0"/>
    <s v="M005"/>
    <s v="Nina Weber"/>
    <s v="Home"/>
    <n v="10246.000000000002"/>
  </r>
  <r>
    <s v="T027"/>
    <d v="2026-03-01T00:00:00"/>
    <x v="9"/>
    <n v="7200"/>
    <s v="USD"/>
    <s v="Captured "/>
    <n v="49"/>
    <s v="us"/>
    <s v="U007"/>
    <s v="Card"/>
    <s v="2026-03-01"/>
    <x v="4"/>
    <s v="Captured"/>
    <x v="0"/>
    <n v="49"/>
    <s v="US"/>
    <n v="7200"/>
    <n v="1"/>
    <n v="0"/>
    <s v="M004"/>
    <s v="Marcus Lee"/>
    <s v="Travel"/>
    <n v="14600"/>
  </r>
  <r>
    <s v="T028"/>
    <d v="2026-03-02T00:00:00"/>
    <x v="9"/>
    <n v="3100"/>
    <s v="USD"/>
    <s v=" CAPTURED"/>
    <s v="risk-41"/>
    <s v="us"/>
    <s v="U008"/>
    <s v="Card"/>
    <s v="2026-03-02"/>
    <x v="4"/>
    <s v="Captured"/>
    <x v="0"/>
    <n v="41"/>
    <s v="US"/>
    <n v="3100"/>
    <n v="0"/>
    <n v="0"/>
    <s v="M004"/>
    <s v="Marcus Lee"/>
    <s v="Travel"/>
    <n v="14600"/>
  </r>
  <r>
    <s v="T029"/>
    <d v="2026-03-04T00:00:00"/>
    <x v="10"/>
    <n v="2500"/>
    <s v="USD"/>
    <s v=" chargeback "/>
    <s v="score:58"/>
    <s v="us"/>
    <s v="U009"/>
    <s v="Wallet"/>
    <s v="2026-03-04"/>
    <x v="4"/>
    <s v="Chargeback"/>
    <x v="2"/>
    <n v="58"/>
    <s v="US"/>
    <n v="2500"/>
    <n v="0"/>
    <n v="1"/>
    <s v="M004"/>
    <s v="Marcus Lee"/>
    <s v="Travel"/>
    <n v="14600"/>
  </r>
  <r>
    <s v="T030"/>
    <d v="2026-03-06T00:00:00"/>
    <x v="9"/>
    <n v="1800"/>
    <s v="USD"/>
    <s v="FAILED e05 TIMEOUT"/>
    <s v="score:47"/>
    <s v="us"/>
    <s v="U010"/>
    <s v="UPI"/>
    <s v="2026-03-06"/>
    <x v="4"/>
    <s v="Failed E05 Timeout"/>
    <x v="1"/>
    <n v="47"/>
    <s v="US"/>
    <n v="1800"/>
    <n v="0"/>
    <n v="0"/>
    <s v="M004"/>
    <s v="Marcus Lee"/>
    <s v="Travel"/>
    <n v="14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50964-68D1-4C96-BF06-FE58030D29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9" firstHeaderRow="0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ransactions_amount_usd" fld="16" baseField="0" baseItem="0"/>
    <dataField name="Average of risk_score2" fld="14" subtotal="average" baseField="11" baseItem="0"/>
    <dataField name="Sum of high_value_flag" fld="17" baseField="0" baseItem="0"/>
    <dataField name="Sum of high_risk_flag" fld="18" baseField="0" baseItem="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3893E-D2AC-4590-942E-6326A758AD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3">
    <pivotField showAll="0"/>
    <pivotField numFmtId="14" showAll="0"/>
    <pivotField showAll="0">
      <items count="12">
        <item x="0"/>
        <item x="6"/>
        <item x="4"/>
        <item x="1"/>
        <item x="3"/>
        <item x="5"/>
        <item x="2"/>
        <item x="7"/>
        <item x="9"/>
        <item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s_amount_usd" fld="16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8673-B9AE-4BA8-9EC6-E96E04F89B2A}">
  <dimension ref="A1:V31"/>
  <sheetViews>
    <sheetView tabSelected="1" topLeftCell="J1" workbookViewId="0">
      <selection activeCell="Q1" sqref="Q1"/>
    </sheetView>
  </sheetViews>
  <sheetFormatPr defaultRowHeight="14.4" x14ac:dyDescent="0.3"/>
  <cols>
    <col min="1" max="1" width="14.88671875" bestFit="1" customWidth="1"/>
    <col min="2" max="2" width="17.21875" bestFit="1" customWidth="1"/>
    <col min="3" max="3" width="16.6640625" bestFit="1" customWidth="1"/>
    <col min="4" max="4" width="13.6640625" bestFit="1" customWidth="1"/>
    <col min="5" max="5" width="10.21875" bestFit="1" customWidth="1"/>
    <col min="6" max="6" width="18.6640625" bestFit="1" customWidth="1"/>
    <col min="7" max="7" width="11.44140625" bestFit="1" customWidth="1"/>
    <col min="8" max="8" width="16.33203125" bestFit="1" customWidth="1"/>
    <col min="9" max="9" width="9.109375" bestFit="1" customWidth="1"/>
    <col min="10" max="10" width="17.77734375" bestFit="1" customWidth="1"/>
    <col min="11" max="11" width="17.5546875" bestFit="1" customWidth="1"/>
    <col min="12" max="12" width="17.21875" bestFit="1" customWidth="1"/>
    <col min="13" max="13" width="16.5546875" bestFit="1" customWidth="1"/>
    <col min="14" max="14" width="13.33203125" bestFit="1" customWidth="1"/>
    <col min="15" max="15" width="11.5546875" bestFit="1" customWidth="1"/>
    <col min="16" max="16" width="16.77734375" bestFit="1" customWidth="1"/>
    <col min="17" max="17" width="23.21875" bestFit="1" customWidth="1"/>
    <col min="18" max="18" width="14.44140625" bestFit="1" customWidth="1"/>
    <col min="19" max="19" width="12.6640625" bestFit="1" customWidth="1"/>
    <col min="20" max="20" width="11.21875" bestFit="1" customWidth="1"/>
    <col min="21" max="21" width="15.77734375" bestFit="1" customWidth="1"/>
    <col min="22" max="22" width="17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</v>
      </c>
      <c r="L1" s="2" t="s">
        <v>2</v>
      </c>
      <c r="M1" s="2" t="s">
        <v>5</v>
      </c>
      <c r="N1" s="2" t="s">
        <v>126</v>
      </c>
      <c r="O1" s="2" t="s">
        <v>6</v>
      </c>
      <c r="P1" s="2" t="s">
        <v>7</v>
      </c>
      <c r="Q1" s="2" t="s">
        <v>127</v>
      </c>
      <c r="R1" s="2" t="s">
        <v>128</v>
      </c>
      <c r="S1" s="2" t="s">
        <v>129</v>
      </c>
      <c r="T1" s="2" t="s">
        <v>105</v>
      </c>
      <c r="U1" s="2" t="s">
        <v>106</v>
      </c>
      <c r="V1" s="2" t="s">
        <v>107</v>
      </c>
    </row>
    <row r="2" spans="1:22" ht="15.6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tr">
        <f>TEXT(B2,"yyyy-mm-dd")</f>
        <v>2026-03-01</v>
      </c>
      <c r="L2" t="str">
        <f>PROPER(TRIM(C2))</f>
        <v>Alpha Mart</v>
      </c>
      <c r="M2" t="str">
        <f>PROPER(TRIM(F2))</f>
        <v>Captured</v>
      </c>
      <c r="N2" t="str">
        <f>IF(ISNUMBER(SEARCH("chargeback",M2)),"chargeback",IF(ISNUMBER(SEARCH("captured",M2)),"captured",IF(ISNUMBER(SEARCH("failed",M2)),"failed","other")))</f>
        <v>captured</v>
      </c>
      <c r="O2" s="3">
        <f t="shared" ref="O2:O11" si="0">VALUE(SUBSTITUTE(SUBSTITUTE(G2,"risk-",""),"score:",""))</f>
        <v>62</v>
      </c>
      <c r="P2" s="3" t="str">
        <f>UPPER(TRIM(IF(H2="",VLOOKUP(L2,merchant_master!$B$1:$E$6,4,0),H2)))</f>
        <v>APAC</v>
      </c>
      <c r="Q2" s="3">
        <f t="array" ref="Q2">D2*INDEX(exchange_rates!$C:$C,MATCH(1,(exchange_rates!$A:$A=B2)*(exchange_rates!$B:$B=E2),0))</f>
        <v>4998</v>
      </c>
      <c r="R2" s="3">
        <f>IF(OR(AND(P2="APAC",Q2&gt;5000),AND(P2="EU",Q2&gt;6000),AND(P2="US",Q2&gt;7000)),1,0)</f>
        <v>0</v>
      </c>
      <c r="S2" s="4">
        <f>IF(OR(O2&gt;=70,ISNUMBER(SEARCH("chargeback",M2))),1,0)</f>
        <v>0</v>
      </c>
      <c r="T2" t="str">
        <f>VLOOKUP(L2,merchant_master!$B$1:$F$6,5,0)</f>
        <v>M001</v>
      </c>
      <c r="U2" t="str">
        <f>VLOOKUP(L2,merchant_master!$B$1:$C$6,2,0)</f>
        <v>Aisha Khan</v>
      </c>
      <c r="V2" t="str">
        <f>VLOOKUP(L2,merchant_master!$B$1:$D$6,3,0)</f>
        <v>Grocery</v>
      </c>
    </row>
    <row r="3" spans="1:22" ht="15.6" x14ac:dyDescent="0.3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  <c r="K3" t="str">
        <f t="shared" ref="K3:K31" si="1">TEXT(B3,"yyyy-mm-dd")</f>
        <v>2026-03-01</v>
      </c>
      <c r="L3" t="str">
        <f t="shared" ref="L3:L31" si="2">PROPER(TRIM(C3))</f>
        <v>Alpha Mart</v>
      </c>
      <c r="M3" t="str">
        <f t="shared" ref="M3:M31" si="3">PROPER(TRIM(F3))</f>
        <v>Captured</v>
      </c>
      <c r="N3" t="str">
        <f t="shared" ref="N3:N31" si="4">IF(ISNUMBER(SEARCH("chargeback",M3)),"chargeback",IF(ISNUMBER(SEARCH("captured",M3)),"captured",IF(ISNUMBER(SEARCH("failed",M3)),"failed","other")))</f>
        <v>captured</v>
      </c>
      <c r="O3" s="3">
        <f t="shared" si="0"/>
        <v>55</v>
      </c>
      <c r="P3" s="3" t="str">
        <f>UPPER(TRIM(IF(H3="",VLOOKUP(L3,merchant_master!$B$1:$E$6,4,0),H3)))</f>
        <v>APAC</v>
      </c>
      <c r="Q3" s="3">
        <f t="array" ref="Q3">D3*INDEX(exchange_rates!$C:$C,MATCH(1,(exchange_rates!$A:$A=B3)*(exchange_rates!$B:$B=E3),0))</f>
        <v>2499</v>
      </c>
      <c r="R3" s="3">
        <f t="shared" ref="R3:R31" si="5">IF(OR(AND(P3="APAC",Q3&gt;5000),AND(P3="EU",Q3&gt;6000),AND(P3="US",Q3&gt;7000)),1,0)</f>
        <v>0</v>
      </c>
      <c r="S3" s="4">
        <f t="shared" ref="S3:S31" si="6">IF(OR(O3&gt;=70,ISNUMBER(SEARCH("chargeback",M3))),1,0)</f>
        <v>0</v>
      </c>
      <c r="T3" t="str">
        <f>VLOOKUP(L3,merchant_master!$B$1:$F$6,5,0)</f>
        <v>M001</v>
      </c>
      <c r="U3" t="str">
        <f>VLOOKUP(L3,merchant_master!$B$1:$C$6,2,0)</f>
        <v>Aisha Khan</v>
      </c>
      <c r="V3" t="str">
        <f>VLOOKUP(L3,merchant_master!$B$1:$D$6,3,0)</f>
        <v>Grocery</v>
      </c>
    </row>
    <row r="4" spans="1:22" ht="15.6" x14ac:dyDescent="0.3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  <c r="K4" t="str">
        <f t="shared" si="1"/>
        <v>2026-03-01</v>
      </c>
      <c r="L4" t="str">
        <f t="shared" si="2"/>
        <v>Beta Stores</v>
      </c>
      <c r="M4" t="str">
        <f t="shared" si="3"/>
        <v>Captured</v>
      </c>
      <c r="N4" t="str">
        <f t="shared" si="4"/>
        <v>captured</v>
      </c>
      <c r="O4" s="3">
        <f t="shared" si="0"/>
        <v>71</v>
      </c>
      <c r="P4" s="3" t="str">
        <f>UPPER(TRIM(IF(H4="",VLOOKUP(L4,merchant_master!$B$1:$E$6,4,0),H4)))</f>
        <v>APAC</v>
      </c>
      <c r="Q4" s="3">
        <f t="array" ref="Q4">D4*INDEX(exchange_rates!$C:$C,MATCH(1,(exchange_rates!$A:$A=B4)*(exchange_rates!$B:$B=E4),0))</f>
        <v>6069</v>
      </c>
      <c r="R4" s="3">
        <f t="shared" si="5"/>
        <v>1</v>
      </c>
      <c r="S4" s="4">
        <f t="shared" si="6"/>
        <v>1</v>
      </c>
      <c r="T4" t="str">
        <f>VLOOKUP(L4,merchant_master!$B$1:$F$6,5,0)</f>
        <v>M002</v>
      </c>
      <c r="U4" t="str">
        <f>VLOOKUP(L4,merchant_master!$B$1:$C$6,2,0)</f>
        <v>Rohan Mehta</v>
      </c>
      <c r="V4" t="str">
        <f>VLOOKUP(L4,merchant_master!$B$1:$D$6,3,0)</f>
        <v>Electronics</v>
      </c>
    </row>
    <row r="5" spans="1:22" ht="15.6" x14ac:dyDescent="0.3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  <c r="K5" t="str">
        <f t="shared" si="1"/>
        <v>2026-03-02</v>
      </c>
      <c r="L5" t="str">
        <f t="shared" si="2"/>
        <v>Beta Stores</v>
      </c>
      <c r="M5" t="str">
        <f t="shared" si="3"/>
        <v>Failed E05 Timeout</v>
      </c>
      <c r="N5" t="str">
        <f t="shared" si="4"/>
        <v>failed</v>
      </c>
      <c r="O5" s="3">
        <f t="shared" si="0"/>
        <v>68</v>
      </c>
      <c r="P5" s="3" t="str">
        <f>UPPER(TRIM(IF(H5="",VLOOKUP(L5,merchant_master!$B$1:$E$6,4,0),H5)))</f>
        <v>APAC</v>
      </c>
      <c r="Q5" s="3">
        <f t="array" ref="Q5">D5*INDEX(exchange_rates!$C:$C,MATCH(1,(exchange_rates!$A:$A=B5)*(exchange_rates!$B:$B=E5),0))</f>
        <v>1920</v>
      </c>
      <c r="R5" s="3">
        <f t="shared" si="5"/>
        <v>0</v>
      </c>
      <c r="S5" s="4">
        <f t="shared" si="6"/>
        <v>0</v>
      </c>
      <c r="T5" t="str">
        <f>VLOOKUP(L5,merchant_master!$B$1:$F$6,5,0)</f>
        <v>M002</v>
      </c>
      <c r="U5" t="str">
        <f>VLOOKUP(L5,merchant_master!$B$1:$C$6,2,0)</f>
        <v>Rohan Mehta</v>
      </c>
      <c r="V5" t="str">
        <f>VLOOKUP(L5,merchant_master!$B$1:$D$6,3,0)</f>
        <v>Electronics</v>
      </c>
    </row>
    <row r="6" spans="1:22" ht="15.6" x14ac:dyDescent="0.3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  <c r="K6" t="str">
        <f t="shared" si="1"/>
        <v>2026-03-02</v>
      </c>
      <c r="L6" t="str">
        <f t="shared" si="2"/>
        <v>Alpha Mart</v>
      </c>
      <c r="M6" t="str">
        <f t="shared" si="3"/>
        <v>Captured</v>
      </c>
      <c r="N6" t="str">
        <f t="shared" si="4"/>
        <v>captured</v>
      </c>
      <c r="O6" s="3">
        <f t="shared" si="0"/>
        <v>58</v>
      </c>
      <c r="P6" s="3" t="str">
        <f>UPPER(TRIM(IF(H6="",VLOOKUP(L6,merchant_master!$B$1:$E$6,4,0),H6)))</f>
        <v>APAC</v>
      </c>
      <c r="Q6" s="3">
        <f t="array" ref="Q6">D6*INDEX(exchange_rates!$C:$C,MATCH(1,(exchange_rates!$A:$A=B6)*(exchange_rates!$B:$B=E6),0))</f>
        <v>4680</v>
      </c>
      <c r="R6" s="3">
        <f t="shared" si="5"/>
        <v>0</v>
      </c>
      <c r="S6" s="4">
        <f t="shared" si="6"/>
        <v>0</v>
      </c>
      <c r="T6" t="str">
        <f>VLOOKUP(L6,merchant_master!$B$1:$F$6,5,0)</f>
        <v>M001</v>
      </c>
      <c r="U6" t="str">
        <f>VLOOKUP(L6,merchant_master!$B$1:$C$6,2,0)</f>
        <v>Aisha Khan</v>
      </c>
      <c r="V6" t="str">
        <f>VLOOKUP(L6,merchant_master!$B$1:$D$6,3,0)</f>
        <v>Grocery</v>
      </c>
    </row>
    <row r="7" spans="1:22" ht="15.6" x14ac:dyDescent="0.3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  <c r="K7" t="str">
        <f t="shared" si="1"/>
        <v>2026-03-02</v>
      </c>
      <c r="L7" t="str">
        <f t="shared" si="2"/>
        <v>Beta Stores</v>
      </c>
      <c r="M7" t="str">
        <f t="shared" si="3"/>
        <v>Captured</v>
      </c>
      <c r="N7" t="str">
        <f t="shared" si="4"/>
        <v>captured</v>
      </c>
      <c r="O7" s="3">
        <f t="shared" si="0"/>
        <v>64</v>
      </c>
      <c r="P7" s="3" t="str">
        <f>UPPER(TRIM(IF(H7="",VLOOKUP(L7,merchant_master!$B$1:$E$6,4,0),H7)))</f>
        <v>APAC</v>
      </c>
      <c r="Q7" s="3">
        <f t="array" ref="Q7">D7*INDEX(exchange_rates!$C:$C,MATCH(1,(exchange_rates!$A:$A=B7)*(exchange_rates!$B:$B=E7),0))</f>
        <v>3300</v>
      </c>
      <c r="R7" s="3">
        <f t="shared" si="5"/>
        <v>0</v>
      </c>
      <c r="S7" s="4">
        <f t="shared" si="6"/>
        <v>0</v>
      </c>
      <c r="T7" t="str">
        <f>VLOOKUP(L7,merchant_master!$B$1:$F$6,5,0)</f>
        <v>M002</v>
      </c>
      <c r="U7" t="str">
        <f>VLOOKUP(L7,merchant_master!$B$1:$C$6,2,0)</f>
        <v>Rohan Mehta</v>
      </c>
      <c r="V7" t="str">
        <f>VLOOKUP(L7,merchant_master!$B$1:$D$6,3,0)</f>
        <v>Electronics</v>
      </c>
    </row>
    <row r="8" spans="1:22" ht="15.6" x14ac:dyDescent="0.3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  <c r="K8" t="str">
        <f t="shared" si="1"/>
        <v>2026-03-02</v>
      </c>
      <c r="L8" t="str">
        <f t="shared" si="2"/>
        <v>Alpha Mart</v>
      </c>
      <c r="M8" t="str">
        <f t="shared" si="3"/>
        <v>Chargeback</v>
      </c>
      <c r="N8" t="str">
        <f t="shared" si="4"/>
        <v>chargeback</v>
      </c>
      <c r="O8" s="3">
        <f t="shared" si="0"/>
        <v>83</v>
      </c>
      <c r="P8" s="3" t="str">
        <f>UPPER(TRIM(IF(H8="",VLOOKUP(L8,merchant_master!$B$1:$E$6,4,0),H8)))</f>
        <v>APAC</v>
      </c>
      <c r="Q8" s="3">
        <f t="array" ref="Q8">D8*INDEX(exchange_rates!$C:$C,MATCH(1,(exchange_rates!$A:$A=B8)*(exchange_rates!$B:$B=E8),0))</f>
        <v>5400</v>
      </c>
      <c r="R8" s="3">
        <f t="shared" si="5"/>
        <v>1</v>
      </c>
      <c r="S8" s="4">
        <f t="shared" si="6"/>
        <v>1</v>
      </c>
      <c r="T8" t="str">
        <f>VLOOKUP(L8,merchant_master!$B$1:$F$6,5,0)</f>
        <v>M001</v>
      </c>
      <c r="U8" t="str">
        <f>VLOOKUP(L8,merchant_master!$B$1:$C$6,2,0)</f>
        <v>Aisha Khan</v>
      </c>
      <c r="V8" t="str">
        <f>VLOOKUP(L8,merchant_master!$B$1:$D$6,3,0)</f>
        <v>Grocery</v>
      </c>
    </row>
    <row r="9" spans="1:22" ht="15.6" x14ac:dyDescent="0.3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  <c r="K9" t="str">
        <f t="shared" si="1"/>
        <v>2026-03-03</v>
      </c>
      <c r="L9" t="str">
        <f t="shared" si="2"/>
        <v>Beta Stores</v>
      </c>
      <c r="M9" t="str">
        <f t="shared" si="3"/>
        <v>Captured</v>
      </c>
      <c r="N9" t="str">
        <f t="shared" si="4"/>
        <v>captured</v>
      </c>
      <c r="O9" s="3">
        <f t="shared" si="0"/>
        <v>59</v>
      </c>
      <c r="P9" s="3" t="str">
        <f>UPPER(TRIM(IF(H9="",VLOOKUP(L9,merchant_master!$B$1:$E$6,4,0),H9)))</f>
        <v>APAC</v>
      </c>
      <c r="Q9" s="3">
        <f t="array" ref="Q9">D9*INDEX(exchange_rates!$C:$C,MATCH(1,(exchange_rates!$A:$A=B9)*(exchange_rates!$B:$B=E9),0))</f>
        <v>4114</v>
      </c>
      <c r="R9" s="3">
        <f t="shared" si="5"/>
        <v>0</v>
      </c>
      <c r="S9" s="4">
        <f t="shared" si="6"/>
        <v>0</v>
      </c>
      <c r="T9" t="str">
        <f>VLOOKUP(L9,merchant_master!$B$1:$F$6,5,0)</f>
        <v>M002</v>
      </c>
      <c r="U9" t="str">
        <f>VLOOKUP(L9,merchant_master!$B$1:$C$6,2,0)</f>
        <v>Rohan Mehta</v>
      </c>
      <c r="V9" t="str">
        <f>VLOOKUP(L9,merchant_master!$B$1:$D$6,3,0)</f>
        <v>Electronics</v>
      </c>
    </row>
    <row r="10" spans="1:22" ht="15.6" x14ac:dyDescent="0.3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  <c r="K10" t="str">
        <f t="shared" si="1"/>
        <v>2026-03-03</v>
      </c>
      <c r="L10" t="str">
        <f t="shared" si="2"/>
        <v>Alpha Mart</v>
      </c>
      <c r="M10" t="str">
        <f t="shared" si="3"/>
        <v>Captured</v>
      </c>
      <c r="N10" t="str">
        <f t="shared" si="4"/>
        <v>captured</v>
      </c>
      <c r="O10" s="3">
        <f t="shared" si="0"/>
        <v>46</v>
      </c>
      <c r="P10" s="3" t="str">
        <f>UPPER(TRIM(IF(H10="",VLOOKUP(L10,merchant_master!$B$1:$E$6,4,0),H10)))</f>
        <v>APAC</v>
      </c>
      <c r="Q10" s="3">
        <f t="array" ref="Q10">D10*INDEX(exchange_rates!$C:$C,MATCH(1,(exchange_rates!$A:$A=B10)*(exchange_rates!$B:$B=E10),0))</f>
        <v>1512.5</v>
      </c>
      <c r="R10" s="3">
        <f t="shared" si="5"/>
        <v>0</v>
      </c>
      <c r="S10" s="4">
        <f t="shared" si="6"/>
        <v>0</v>
      </c>
      <c r="T10" t="str">
        <f>VLOOKUP(L10,merchant_master!$B$1:$F$6,5,0)</f>
        <v>M001</v>
      </c>
      <c r="U10" t="str">
        <f>VLOOKUP(L10,merchant_master!$B$1:$C$6,2,0)</f>
        <v>Aisha Khan</v>
      </c>
      <c r="V10" t="str">
        <f>VLOOKUP(L10,merchant_master!$B$1:$D$6,3,0)</f>
        <v>Grocery</v>
      </c>
    </row>
    <row r="11" spans="1:22" ht="15.6" x14ac:dyDescent="0.3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  <c r="K11" t="str">
        <f t="shared" si="1"/>
        <v>2026-03-03</v>
      </c>
      <c r="L11" t="str">
        <f t="shared" si="2"/>
        <v>Beta Stores</v>
      </c>
      <c r="M11" t="str">
        <f t="shared" si="3"/>
        <v>Captured</v>
      </c>
      <c r="N11" t="str">
        <f t="shared" si="4"/>
        <v>captured</v>
      </c>
      <c r="O11" s="3">
        <f t="shared" si="0"/>
        <v>77</v>
      </c>
      <c r="P11" s="3" t="str">
        <f>UPPER(TRIM(IF(H11="",VLOOKUP(L11,merchant_master!$B$1:$E$6,4,0),H11)))</f>
        <v>APAC</v>
      </c>
      <c r="Q11" s="3">
        <f t="array" ref="Q11">D11*INDEX(exchange_rates!$C:$C,MATCH(1,(exchange_rates!$A:$A=B11)*(exchange_rates!$B:$B=E11),0))</f>
        <v>7381</v>
      </c>
      <c r="R11" s="3">
        <f t="shared" si="5"/>
        <v>1</v>
      </c>
      <c r="S11" s="4">
        <f t="shared" si="6"/>
        <v>1</v>
      </c>
      <c r="T11" t="str">
        <f>VLOOKUP(L11,merchant_master!$B$1:$F$6,5,0)</f>
        <v>M002</v>
      </c>
      <c r="U11" t="str">
        <f>VLOOKUP(L11,merchant_master!$B$1:$C$6,2,0)</f>
        <v>Rohan Mehta</v>
      </c>
      <c r="V11" t="str">
        <f>VLOOKUP(L11,merchant_master!$B$1:$D$6,3,0)</f>
        <v>Electronics</v>
      </c>
    </row>
    <row r="12" spans="1:22" ht="15.6" x14ac:dyDescent="0.3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  <c r="K12" t="str">
        <f t="shared" si="1"/>
        <v>2026-03-03</v>
      </c>
      <c r="L12" t="str">
        <f t="shared" si="2"/>
        <v>Alpha Mart</v>
      </c>
      <c r="M12" t="str">
        <f t="shared" si="3"/>
        <v>Failed E05 Timeout</v>
      </c>
      <c r="N12" t="str">
        <f t="shared" si="4"/>
        <v>failed</v>
      </c>
      <c r="O12" s="3"/>
      <c r="P12" s="3" t="str">
        <f>UPPER(TRIM(IF(H12="",VLOOKUP(L12,merchant_master!$B$1:$E$6,4,0),H12)))</f>
        <v>APAC</v>
      </c>
      <c r="Q12" s="3">
        <f t="array" ref="Q12">D12*INDEX(exchange_rates!$C:$C,MATCH(1,(exchange_rates!$A:$A=B12)*(exchange_rates!$B:$B=E12),0))</f>
        <v>2359.5</v>
      </c>
      <c r="R12" s="3">
        <f t="shared" si="5"/>
        <v>0</v>
      </c>
      <c r="S12" s="4">
        <f t="shared" si="6"/>
        <v>0</v>
      </c>
      <c r="T12" t="str">
        <f>VLOOKUP(L12,merchant_master!$B$1:$F$6,5,0)</f>
        <v>M001</v>
      </c>
      <c r="U12" t="str">
        <f>VLOOKUP(L12,merchant_master!$B$1:$C$6,2,0)</f>
        <v>Aisha Khan</v>
      </c>
      <c r="V12" t="str">
        <f>VLOOKUP(L12,merchant_master!$B$1:$D$6,3,0)</f>
        <v>Grocery</v>
      </c>
    </row>
    <row r="13" spans="1:22" ht="15.6" x14ac:dyDescent="0.3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  <c r="K13" t="str">
        <f t="shared" si="1"/>
        <v>2026-03-04</v>
      </c>
      <c r="L13" t="str">
        <f t="shared" si="2"/>
        <v>Beta Stores</v>
      </c>
      <c r="M13" t="str">
        <f t="shared" si="3"/>
        <v>Captured</v>
      </c>
      <c r="N13" t="str">
        <f t="shared" si="4"/>
        <v>captured</v>
      </c>
      <c r="O13" s="3">
        <f t="shared" ref="O13:O31" si="7">VALUE(SUBSTITUTE(SUBSTITUTE(G13,"risk-",""),"score:",""))</f>
        <v>61</v>
      </c>
      <c r="P13" s="3" t="str">
        <f>UPPER(TRIM(IF(H13="",VLOOKUP(L13,merchant_master!$B$1:$E$6,4,0),H13)))</f>
        <v>APAC</v>
      </c>
      <c r="Q13" s="3">
        <f t="array" ref="Q13">D13*INDEX(exchange_rates!$C:$C,MATCH(1,(exchange_rates!$A:$A=B13)*(exchange_rates!$B:$B=E13),0))</f>
        <v>3000</v>
      </c>
      <c r="R13" s="3">
        <f t="shared" si="5"/>
        <v>0</v>
      </c>
      <c r="S13" s="4">
        <f t="shared" si="6"/>
        <v>0</v>
      </c>
      <c r="T13" t="str">
        <f>VLOOKUP(L13,merchant_master!$B$1:$F$6,5,0)</f>
        <v>M002</v>
      </c>
      <c r="U13" t="str">
        <f>VLOOKUP(L13,merchant_master!$B$1:$C$6,2,0)</f>
        <v>Rohan Mehta</v>
      </c>
      <c r="V13" t="str">
        <f>VLOOKUP(L13,merchant_master!$B$1:$D$6,3,0)</f>
        <v>Electronics</v>
      </c>
    </row>
    <row r="14" spans="1:22" ht="15.6" x14ac:dyDescent="0.3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  <c r="K14" t="str">
        <f t="shared" si="1"/>
        <v>2026-03-04</v>
      </c>
      <c r="L14" t="str">
        <f t="shared" si="2"/>
        <v>Alpha Mart</v>
      </c>
      <c r="M14" t="str">
        <f t="shared" si="3"/>
        <v>Captured</v>
      </c>
      <c r="N14" t="str">
        <f t="shared" si="4"/>
        <v>captured</v>
      </c>
      <c r="O14" s="3">
        <f t="shared" si="7"/>
        <v>54</v>
      </c>
      <c r="P14" s="3" t="str">
        <f>UPPER(TRIM(IF(H14="",VLOOKUP(L14,merchant_master!$B$1:$E$6,4,0),H14)))</f>
        <v>APAC</v>
      </c>
      <c r="Q14" s="3">
        <f t="array" ref="Q14">D14*INDEX(exchange_rates!$C:$C,MATCH(1,(exchange_rates!$A:$A=B14)*(exchange_rates!$B:$B=E14),0))</f>
        <v>3720</v>
      </c>
      <c r="R14" s="3">
        <f t="shared" si="5"/>
        <v>0</v>
      </c>
      <c r="S14" s="4">
        <f t="shared" si="6"/>
        <v>0</v>
      </c>
      <c r="T14" t="str">
        <f>VLOOKUP(L14,merchant_master!$B$1:$F$6,5,0)</f>
        <v>M001</v>
      </c>
      <c r="U14" t="str">
        <f>VLOOKUP(L14,merchant_master!$B$1:$C$6,2,0)</f>
        <v>Aisha Khan</v>
      </c>
      <c r="V14" t="str">
        <f>VLOOKUP(L14,merchant_master!$B$1:$D$6,3,0)</f>
        <v>Grocery</v>
      </c>
    </row>
    <row r="15" spans="1:22" ht="15.6" x14ac:dyDescent="0.3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  <c r="K15" t="str">
        <f t="shared" si="1"/>
        <v>2026-03-04</v>
      </c>
      <c r="L15" t="str">
        <f t="shared" si="2"/>
        <v>Beta Stores</v>
      </c>
      <c r="M15" t="str">
        <f t="shared" si="3"/>
        <v>Captured</v>
      </c>
      <c r="N15" t="str">
        <f t="shared" si="4"/>
        <v>captured</v>
      </c>
      <c r="O15" s="3">
        <f t="shared" si="7"/>
        <v>73</v>
      </c>
      <c r="P15" s="3" t="str">
        <f>UPPER(TRIM(IF(H15="",VLOOKUP(L15,merchant_master!$B$1:$E$6,4,0),H15)))</f>
        <v>APAC</v>
      </c>
      <c r="Q15" s="3">
        <f t="array" ref="Q15">D15*INDEX(exchange_rates!$C:$C,MATCH(1,(exchange_rates!$A:$A=B15)*(exchange_rates!$B:$B=E15),0))</f>
        <v>5640</v>
      </c>
      <c r="R15" s="3">
        <f t="shared" si="5"/>
        <v>1</v>
      </c>
      <c r="S15" s="4">
        <f t="shared" si="6"/>
        <v>1</v>
      </c>
      <c r="T15" t="str">
        <f>VLOOKUP(L15,merchant_master!$B$1:$F$6,5,0)</f>
        <v>M002</v>
      </c>
      <c r="U15" t="str">
        <f>VLOOKUP(L15,merchant_master!$B$1:$C$6,2,0)</f>
        <v>Rohan Mehta</v>
      </c>
      <c r="V15" t="str">
        <f>VLOOKUP(L15,merchant_master!$B$1:$D$6,3,0)</f>
        <v>Electronics</v>
      </c>
    </row>
    <row r="16" spans="1:22" ht="15.6" x14ac:dyDescent="0.3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  <c r="K16" t="str">
        <f t="shared" si="1"/>
        <v>2026-03-04</v>
      </c>
      <c r="L16" t="str">
        <f t="shared" si="2"/>
        <v>Alpha Mart</v>
      </c>
      <c r="M16" t="str">
        <f t="shared" si="3"/>
        <v>Captured</v>
      </c>
      <c r="N16" t="str">
        <f t="shared" si="4"/>
        <v>captured</v>
      </c>
      <c r="O16" s="3">
        <f t="shared" si="7"/>
        <v>52</v>
      </c>
      <c r="P16" s="3" t="str">
        <f>UPPER(TRIM(IF(H16="",VLOOKUP(L16,merchant_master!$B$1:$E$6,4,0),H16)))</f>
        <v>APAC</v>
      </c>
      <c r="Q16" s="3">
        <f t="array" ref="Q16">D16*INDEX(exchange_rates!$C:$C,MATCH(1,(exchange_rates!$A:$A=B16)*(exchange_rates!$B:$B=E16),0))</f>
        <v>1560</v>
      </c>
      <c r="R16" s="3">
        <f t="shared" si="5"/>
        <v>0</v>
      </c>
      <c r="S16" s="4">
        <f t="shared" si="6"/>
        <v>0</v>
      </c>
      <c r="T16" t="str">
        <f>VLOOKUP(L16,merchant_master!$B$1:$F$6,5,0)</f>
        <v>M001</v>
      </c>
      <c r="U16" t="str">
        <f>VLOOKUP(L16,merchant_master!$B$1:$C$6,2,0)</f>
        <v>Aisha Khan</v>
      </c>
      <c r="V16" t="str">
        <f>VLOOKUP(L16,merchant_master!$B$1:$D$6,3,0)</f>
        <v>Grocery</v>
      </c>
    </row>
    <row r="17" spans="1:22" ht="15.6" x14ac:dyDescent="0.3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  <c r="K17" t="str">
        <f t="shared" si="1"/>
        <v>2026-03-05</v>
      </c>
      <c r="L17" t="str">
        <f t="shared" si="2"/>
        <v>Beta Stores</v>
      </c>
      <c r="M17" t="str">
        <f t="shared" si="3"/>
        <v>Failed E05 Timeout</v>
      </c>
      <c r="N17" t="str">
        <f t="shared" si="4"/>
        <v>failed</v>
      </c>
      <c r="O17" s="3">
        <f t="shared" si="7"/>
        <v>69</v>
      </c>
      <c r="P17" s="3" t="str">
        <f>UPPER(TRIM(IF(H17="",VLOOKUP(L17,merchant_master!$B$1:$E$6,4,0),H17)))</f>
        <v>APAC</v>
      </c>
      <c r="Q17" s="3">
        <f t="array" ref="Q17">D17*INDEX(exchange_rates!$C:$C,MATCH(1,(exchange_rates!$A:$A=B17)*(exchange_rates!$B:$B=E17),0))</f>
        <v>2596</v>
      </c>
      <c r="R17" s="3">
        <f t="shared" si="5"/>
        <v>0</v>
      </c>
      <c r="S17" s="4">
        <f t="shared" si="6"/>
        <v>0</v>
      </c>
      <c r="T17" t="str">
        <f>VLOOKUP(L17,merchant_master!$B$1:$F$6,5,0)</f>
        <v>M002</v>
      </c>
      <c r="U17" t="str">
        <f>VLOOKUP(L17,merchant_master!$B$1:$C$6,2,0)</f>
        <v>Rohan Mehta</v>
      </c>
      <c r="V17" t="str">
        <f>VLOOKUP(L17,merchant_master!$B$1:$D$6,3,0)</f>
        <v>Electronics</v>
      </c>
    </row>
    <row r="18" spans="1:22" ht="15.6" x14ac:dyDescent="0.3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  <c r="K18" t="str">
        <f t="shared" si="1"/>
        <v>2026-03-05</v>
      </c>
      <c r="L18" t="str">
        <f t="shared" si="2"/>
        <v>Beta Stores</v>
      </c>
      <c r="M18" t="str">
        <f t="shared" si="3"/>
        <v>Failed E05 Timeout</v>
      </c>
      <c r="N18" t="str">
        <f t="shared" si="4"/>
        <v>failed</v>
      </c>
      <c r="O18" s="3">
        <f t="shared" si="7"/>
        <v>72</v>
      </c>
      <c r="P18" s="3" t="str">
        <f>UPPER(TRIM(IF(H18="",VLOOKUP(L18,merchant_master!$B$1:$E$6,4,0),H18)))</f>
        <v>APAC</v>
      </c>
      <c r="Q18" s="3">
        <f t="array" ref="Q18">D18*INDEX(exchange_rates!$C:$C,MATCH(1,(exchange_rates!$A:$A=B18)*(exchange_rates!$B:$B=E18),0))</f>
        <v>2124</v>
      </c>
      <c r="R18" s="3">
        <f t="shared" si="5"/>
        <v>0</v>
      </c>
      <c r="S18" s="4">
        <f t="shared" si="6"/>
        <v>1</v>
      </c>
      <c r="T18" t="str">
        <f>VLOOKUP(L18,merchant_master!$B$1:$F$6,5,0)</f>
        <v>M002</v>
      </c>
      <c r="U18" t="str">
        <f>VLOOKUP(L18,merchant_master!$B$1:$C$6,2,0)</f>
        <v>Rohan Mehta</v>
      </c>
      <c r="V18" t="str">
        <f>VLOOKUP(L18,merchant_master!$B$1:$D$6,3,0)</f>
        <v>Electronics</v>
      </c>
    </row>
    <row r="19" spans="1:22" ht="15.6" x14ac:dyDescent="0.3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  <c r="K19" t="str">
        <f t="shared" si="1"/>
        <v>2026-03-05</v>
      </c>
      <c r="L19" t="str">
        <f t="shared" si="2"/>
        <v>Beta Stores</v>
      </c>
      <c r="M19" t="str">
        <f t="shared" si="3"/>
        <v>Chargeback</v>
      </c>
      <c r="N19" t="str">
        <f t="shared" si="4"/>
        <v>chargeback</v>
      </c>
      <c r="O19" s="3">
        <f t="shared" si="7"/>
        <v>86</v>
      </c>
      <c r="P19" s="3" t="str">
        <f>UPPER(TRIM(IF(H19="",VLOOKUP(L19,merchant_master!$B$1:$E$6,4,0),H19)))</f>
        <v>APAC</v>
      </c>
      <c r="Q19" s="3">
        <f t="array" ref="Q19">D19*INDEX(exchange_rates!$C:$C,MATCH(1,(exchange_rates!$A:$A=B19)*(exchange_rates!$B:$B=E19),0))</f>
        <v>1711</v>
      </c>
      <c r="R19" s="3">
        <f t="shared" si="5"/>
        <v>0</v>
      </c>
      <c r="S19" s="4">
        <f t="shared" si="6"/>
        <v>1</v>
      </c>
      <c r="T19" t="str">
        <f>VLOOKUP(L19,merchant_master!$B$1:$F$6,5,0)</f>
        <v>M002</v>
      </c>
      <c r="U19" t="str">
        <f>VLOOKUP(L19,merchant_master!$B$1:$C$6,2,0)</f>
        <v>Rohan Mehta</v>
      </c>
      <c r="V19" t="str">
        <f>VLOOKUP(L19,merchant_master!$B$1:$D$6,3,0)</f>
        <v>Electronics</v>
      </c>
    </row>
    <row r="20" spans="1:22" ht="15.6" x14ac:dyDescent="0.3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  <c r="K20" t="str">
        <f t="shared" si="1"/>
        <v>2026-03-05</v>
      </c>
      <c r="L20" t="str">
        <f t="shared" si="2"/>
        <v>Alpha Mart</v>
      </c>
      <c r="M20" t="str">
        <f t="shared" si="3"/>
        <v>Failed E05 Timeout</v>
      </c>
      <c r="N20" t="str">
        <f t="shared" si="4"/>
        <v>failed</v>
      </c>
      <c r="O20" s="3">
        <f t="shared" si="7"/>
        <v>67</v>
      </c>
      <c r="P20" s="3" t="str">
        <f>UPPER(TRIM(IF(H20="",VLOOKUP(L20,merchant_master!$B$1:$E$6,4,0),H20)))</f>
        <v>APAC</v>
      </c>
      <c r="Q20" s="3">
        <f t="array" ref="Q20">D20*INDEX(exchange_rates!$C:$C,MATCH(1,(exchange_rates!$A:$A=B20)*(exchange_rates!$B:$B=E20),0))</f>
        <v>3068</v>
      </c>
      <c r="R20" s="3">
        <f t="shared" si="5"/>
        <v>0</v>
      </c>
      <c r="S20" s="4">
        <f t="shared" si="6"/>
        <v>0</v>
      </c>
      <c r="T20" t="str">
        <f>VLOOKUP(L20,merchant_master!$B$1:$F$6,5,0)</f>
        <v>M001</v>
      </c>
      <c r="U20" t="str">
        <f>VLOOKUP(L20,merchant_master!$B$1:$C$6,2,0)</f>
        <v>Aisha Khan</v>
      </c>
      <c r="V20" t="str">
        <f>VLOOKUP(L20,merchant_master!$B$1:$D$6,3,0)</f>
        <v>Grocery</v>
      </c>
    </row>
    <row r="21" spans="1:22" ht="15.6" x14ac:dyDescent="0.3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  <c r="K21" t="str">
        <f t="shared" si="1"/>
        <v>2026-03-05</v>
      </c>
      <c r="L21" t="str">
        <f t="shared" si="2"/>
        <v>Alpha Mart</v>
      </c>
      <c r="M21" t="str">
        <f t="shared" si="3"/>
        <v>Captured</v>
      </c>
      <c r="N21" t="str">
        <f t="shared" si="4"/>
        <v>captured</v>
      </c>
      <c r="O21" s="3">
        <f t="shared" si="7"/>
        <v>75</v>
      </c>
      <c r="P21" s="3" t="str">
        <f>UPPER(TRIM(IF(H21="",VLOOKUP(L21,merchant_master!$B$1:$E$6,4,0),H21)))</f>
        <v>APAC</v>
      </c>
      <c r="Q21" s="3">
        <f t="array" ref="Q21">D21*INDEX(exchange_rates!$C:$C,MATCH(1,(exchange_rates!$A:$A=B21)*(exchange_rates!$B:$B=E21),0))</f>
        <v>6136</v>
      </c>
      <c r="R21" s="3">
        <f t="shared" si="5"/>
        <v>1</v>
      </c>
      <c r="S21" s="4">
        <f t="shared" si="6"/>
        <v>1</v>
      </c>
      <c r="T21" t="str">
        <f>VLOOKUP(L21,merchant_master!$B$1:$F$6,5,0)</f>
        <v>M001</v>
      </c>
      <c r="U21" t="str">
        <f>VLOOKUP(L21,merchant_master!$B$1:$C$6,2,0)</f>
        <v>Aisha Khan</v>
      </c>
      <c r="V21" t="str">
        <f>VLOOKUP(L21,merchant_master!$B$1:$D$6,3,0)</f>
        <v>Grocery</v>
      </c>
    </row>
    <row r="22" spans="1:22" ht="15.6" x14ac:dyDescent="0.3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  <c r="K22" t="str">
        <f t="shared" si="1"/>
        <v>2026-03-06</v>
      </c>
      <c r="L22" t="str">
        <f t="shared" si="2"/>
        <v>Beta Stores</v>
      </c>
      <c r="M22" t="str">
        <f t="shared" si="3"/>
        <v>Captured</v>
      </c>
      <c r="N22" t="str">
        <f t="shared" si="4"/>
        <v>captured</v>
      </c>
      <c r="O22" s="3">
        <f t="shared" si="7"/>
        <v>63</v>
      </c>
      <c r="P22" s="3" t="str">
        <f>UPPER(TRIM(IF(H22="",VLOOKUP(L22,merchant_master!$B$1:$E$6,4,0),H22)))</f>
        <v>APAC</v>
      </c>
      <c r="Q22" s="3">
        <f t="array" ref="Q22">D22*INDEX(exchange_rates!$C:$C,MATCH(1,(exchange_rates!$A:$A=B22)*(exchange_rates!$B:$B=E22),0))</f>
        <v>3927.0000000000005</v>
      </c>
      <c r="R22" s="3">
        <f t="shared" si="5"/>
        <v>0</v>
      </c>
      <c r="S22" s="4">
        <f t="shared" si="6"/>
        <v>0</v>
      </c>
      <c r="T22" t="str">
        <f>VLOOKUP(L22,merchant_master!$B$1:$F$6,5,0)</f>
        <v>M002</v>
      </c>
      <c r="U22" t="str">
        <f>VLOOKUP(L22,merchant_master!$B$1:$C$6,2,0)</f>
        <v>Rohan Mehta</v>
      </c>
      <c r="V22" t="str">
        <f>VLOOKUP(L22,merchant_master!$B$1:$D$6,3,0)</f>
        <v>Electronics</v>
      </c>
    </row>
    <row r="23" spans="1:22" ht="15.6" x14ac:dyDescent="0.3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  <c r="K23" t="str">
        <f t="shared" si="1"/>
        <v>2026-03-06</v>
      </c>
      <c r="L23" t="str">
        <f t="shared" si="2"/>
        <v>Alpha Mart</v>
      </c>
      <c r="M23" t="str">
        <f t="shared" si="3"/>
        <v>Captured</v>
      </c>
      <c r="N23" t="str">
        <f t="shared" si="4"/>
        <v>captured</v>
      </c>
      <c r="O23" s="3">
        <f t="shared" si="7"/>
        <v>60</v>
      </c>
      <c r="P23" s="3" t="str">
        <f>UPPER(TRIM(IF(H23="",VLOOKUP(L23,merchant_master!$B$1:$E$6,4,0),H23)))</f>
        <v>APAC</v>
      </c>
      <c r="Q23" s="3">
        <f t="array" ref="Q23">D23*INDEX(exchange_rates!$C:$C,MATCH(1,(exchange_rates!$A:$A=B23)*(exchange_rates!$B:$B=E23),0))</f>
        <v>4879</v>
      </c>
      <c r="R23" s="3">
        <f t="shared" si="5"/>
        <v>0</v>
      </c>
      <c r="S23" s="4">
        <f t="shared" si="6"/>
        <v>0</v>
      </c>
      <c r="T23" t="str">
        <f>VLOOKUP(L23,merchant_master!$B$1:$F$6,5,0)</f>
        <v>M001</v>
      </c>
      <c r="U23" t="str">
        <f>VLOOKUP(L23,merchant_master!$B$1:$C$6,2,0)</f>
        <v>Aisha Khan</v>
      </c>
      <c r="V23" t="str">
        <f>VLOOKUP(L23,merchant_master!$B$1:$D$6,3,0)</f>
        <v>Grocery</v>
      </c>
    </row>
    <row r="24" spans="1:22" ht="15.6" x14ac:dyDescent="0.3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  <c r="K24" t="str">
        <f t="shared" si="1"/>
        <v>2026-03-01</v>
      </c>
      <c r="L24" t="str">
        <f t="shared" si="2"/>
        <v>City Pharma</v>
      </c>
      <c r="M24" t="str">
        <f t="shared" si="3"/>
        <v>Captured</v>
      </c>
      <c r="N24" t="str">
        <f t="shared" si="4"/>
        <v>captured</v>
      </c>
      <c r="O24" s="3">
        <f t="shared" si="7"/>
        <v>42</v>
      </c>
      <c r="P24" s="3" t="str">
        <f>UPPER(TRIM(IF(H24="",VLOOKUP(L24,merchant_master!$B$1:$E$6,4,0),H24)))</f>
        <v>EU</v>
      </c>
      <c r="Q24" s="3">
        <f t="array" ref="Q24">D24*INDEX(exchange_rates!$C:$C,MATCH(1,(exchange_rates!$A:$A=B24)*(exchange_rates!$B:$B=E24),0))</f>
        <v>5616</v>
      </c>
      <c r="R24" s="3">
        <f t="shared" si="5"/>
        <v>0</v>
      </c>
      <c r="S24" s="4">
        <f t="shared" si="6"/>
        <v>0</v>
      </c>
      <c r="T24" t="str">
        <f>VLOOKUP(L24,merchant_master!$B$1:$F$6,5,0)</f>
        <v>M003</v>
      </c>
      <c r="U24" t="str">
        <f>VLOOKUP(L24,merchant_master!$B$1:$C$6,2,0)</f>
        <v>Elena Rossi</v>
      </c>
      <c r="V24" t="str">
        <f>VLOOKUP(L24,merchant_master!$B$1:$D$6,3,0)</f>
        <v>Healthcare</v>
      </c>
    </row>
    <row r="25" spans="1:22" ht="15.6" x14ac:dyDescent="0.3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  <c r="K25" t="str">
        <f t="shared" si="1"/>
        <v>2026-03-02</v>
      </c>
      <c r="L25" t="str">
        <f t="shared" si="2"/>
        <v>Eco Home</v>
      </c>
      <c r="M25" t="str">
        <f t="shared" si="3"/>
        <v>Chargeback</v>
      </c>
      <c r="N25" t="str">
        <f t="shared" si="4"/>
        <v>chargeback</v>
      </c>
      <c r="O25" s="3">
        <f t="shared" si="7"/>
        <v>65</v>
      </c>
      <c r="P25" s="3" t="str">
        <f>UPPER(TRIM(IF(H25="",VLOOKUP(L25,merchant_master!$B$1:$E$6,4,0),H25)))</f>
        <v>EU</v>
      </c>
      <c r="Q25" s="3">
        <f t="array" ref="Q25">D25*INDEX(exchange_rates!$C:$C,MATCH(1,(exchange_rates!$A:$A=B25)*(exchange_rates!$B:$B=E25),0))</f>
        <v>6649.0000000000009</v>
      </c>
      <c r="R25" s="3">
        <f t="shared" si="5"/>
        <v>1</v>
      </c>
      <c r="S25" s="4">
        <f t="shared" si="6"/>
        <v>1</v>
      </c>
      <c r="T25" t="str">
        <f>VLOOKUP(L25,merchant_master!$B$1:$F$6,5,0)</f>
        <v>M005</v>
      </c>
      <c r="U25" t="str">
        <f>VLOOKUP(L25,merchant_master!$B$1:$C$6,2,0)</f>
        <v>Nina Weber</v>
      </c>
      <c r="V25" t="str">
        <f>VLOOKUP(L25,merchant_master!$B$1:$D$6,3,0)</f>
        <v>Home</v>
      </c>
    </row>
    <row r="26" spans="1:22" ht="15.6" x14ac:dyDescent="0.3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  <c r="K26" t="str">
        <f t="shared" si="1"/>
        <v>2026-03-03</v>
      </c>
      <c r="L26" t="str">
        <f t="shared" si="2"/>
        <v>City Pharma</v>
      </c>
      <c r="M26" t="str">
        <f t="shared" si="3"/>
        <v>Captured</v>
      </c>
      <c r="N26" t="str">
        <f t="shared" si="4"/>
        <v>captured</v>
      </c>
      <c r="O26" s="3">
        <f t="shared" si="7"/>
        <v>38</v>
      </c>
      <c r="P26" s="3" t="str">
        <f>UPPER(TRIM(IF(H26="",VLOOKUP(L26,merchant_master!$B$1:$E$6,4,0),H26)))</f>
        <v>EU</v>
      </c>
      <c r="Q26" s="3">
        <f t="array" ref="Q26">D26*INDEX(exchange_rates!$C:$C,MATCH(1,(exchange_rates!$A:$A=B26)*(exchange_rates!$B:$B=E26),0))</f>
        <v>3024</v>
      </c>
      <c r="R26" s="3">
        <f t="shared" si="5"/>
        <v>0</v>
      </c>
      <c r="S26" s="4">
        <f t="shared" si="6"/>
        <v>0</v>
      </c>
      <c r="T26" t="str">
        <f>VLOOKUP(L26,merchant_master!$B$1:$F$6,5,0)</f>
        <v>M003</v>
      </c>
      <c r="U26" t="str">
        <f>VLOOKUP(L26,merchant_master!$B$1:$C$6,2,0)</f>
        <v>Elena Rossi</v>
      </c>
      <c r="V26" t="str">
        <f>VLOOKUP(L26,merchant_master!$B$1:$D$6,3,0)</f>
        <v>Healthcare</v>
      </c>
    </row>
    <row r="27" spans="1:22" ht="15.6" x14ac:dyDescent="0.3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  <c r="K27" t="str">
        <f t="shared" si="1"/>
        <v>2026-03-05</v>
      </c>
      <c r="L27" t="str">
        <f t="shared" si="2"/>
        <v>Eco Home</v>
      </c>
      <c r="M27" t="str">
        <f t="shared" si="3"/>
        <v>Failed E05 Timeout</v>
      </c>
      <c r="N27" t="str">
        <f t="shared" si="4"/>
        <v>failed</v>
      </c>
      <c r="O27" s="3">
        <f t="shared" si="7"/>
        <v>44</v>
      </c>
      <c r="P27" s="3" t="str">
        <f>UPPER(TRIM(IF(H27="",VLOOKUP(L27,merchant_master!$B$1:$E$6,4,0),H27)))</f>
        <v>EU</v>
      </c>
      <c r="Q27" s="3">
        <f t="array" ref="Q27">D27*INDEX(exchange_rates!$C:$C,MATCH(1,(exchange_rates!$A:$A=B27)*(exchange_rates!$B:$B=E27),0))</f>
        <v>3597.0000000000005</v>
      </c>
      <c r="R27" s="3">
        <f t="shared" si="5"/>
        <v>0</v>
      </c>
      <c r="S27" s="4">
        <f t="shared" si="6"/>
        <v>0</v>
      </c>
      <c r="T27" t="str">
        <f>VLOOKUP(L27,merchant_master!$B$1:$F$6,5,0)</f>
        <v>M005</v>
      </c>
      <c r="U27" t="str">
        <f>VLOOKUP(L27,merchant_master!$B$1:$C$6,2,0)</f>
        <v>Nina Weber</v>
      </c>
      <c r="V27" t="str">
        <f>VLOOKUP(L27,merchant_master!$B$1:$D$6,3,0)</f>
        <v>Home</v>
      </c>
    </row>
    <row r="28" spans="1:22" ht="15.6" x14ac:dyDescent="0.3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  <c r="K28" t="str">
        <f t="shared" si="1"/>
        <v>2026-03-01</v>
      </c>
      <c r="L28" t="str">
        <f t="shared" si="2"/>
        <v>Delta Travels</v>
      </c>
      <c r="M28" t="str">
        <f t="shared" si="3"/>
        <v>Captured</v>
      </c>
      <c r="N28" t="str">
        <f t="shared" si="4"/>
        <v>captured</v>
      </c>
      <c r="O28" s="3">
        <f t="shared" si="7"/>
        <v>49</v>
      </c>
      <c r="P28" s="3" t="str">
        <f>UPPER(TRIM(IF(H28="",VLOOKUP(L28,merchant_master!$B$1:$E$6,4,0),H28)))</f>
        <v>US</v>
      </c>
      <c r="Q28" s="3">
        <f t="array" ref="Q28">D28*INDEX(exchange_rates!$C:$C,MATCH(1,(exchange_rates!$A:$A=B28)*(exchange_rates!$B:$B=E28),0))</f>
        <v>7200</v>
      </c>
      <c r="R28" s="3">
        <f t="shared" si="5"/>
        <v>1</v>
      </c>
      <c r="S28" s="4">
        <f t="shared" si="6"/>
        <v>0</v>
      </c>
      <c r="T28" t="str">
        <f>VLOOKUP(L28,merchant_master!$B$1:$F$6,5,0)</f>
        <v>M004</v>
      </c>
      <c r="U28" t="str">
        <f>VLOOKUP(L28,merchant_master!$B$1:$C$6,2,0)</f>
        <v>Marcus Lee</v>
      </c>
      <c r="V28" t="str">
        <f>VLOOKUP(L28,merchant_master!$B$1:$D$6,3,0)</f>
        <v>Travel</v>
      </c>
    </row>
    <row r="29" spans="1:22" ht="15.6" x14ac:dyDescent="0.3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  <c r="K29" t="str">
        <f t="shared" si="1"/>
        <v>2026-03-02</v>
      </c>
      <c r="L29" t="str">
        <f t="shared" si="2"/>
        <v>Delta Travels</v>
      </c>
      <c r="M29" t="str">
        <f t="shared" si="3"/>
        <v>Captured</v>
      </c>
      <c r="N29" t="str">
        <f t="shared" si="4"/>
        <v>captured</v>
      </c>
      <c r="O29" s="3">
        <f t="shared" si="7"/>
        <v>41</v>
      </c>
      <c r="P29" s="3" t="str">
        <f>UPPER(TRIM(IF(H29="",VLOOKUP(L29,merchant_master!$B$1:$E$6,4,0),H29)))</f>
        <v>US</v>
      </c>
      <c r="Q29" s="3">
        <f t="array" ref="Q29">D29*INDEX(exchange_rates!$C:$C,MATCH(1,(exchange_rates!$A:$A=B29)*(exchange_rates!$B:$B=E29),0))</f>
        <v>3100</v>
      </c>
      <c r="R29" s="3">
        <f t="shared" si="5"/>
        <v>0</v>
      </c>
      <c r="S29" s="4">
        <f t="shared" si="6"/>
        <v>0</v>
      </c>
      <c r="T29" t="str">
        <f>VLOOKUP(L29,merchant_master!$B$1:$F$6,5,0)</f>
        <v>M004</v>
      </c>
      <c r="U29" t="str">
        <f>VLOOKUP(L29,merchant_master!$B$1:$C$6,2,0)</f>
        <v>Marcus Lee</v>
      </c>
      <c r="V29" t="str">
        <f>VLOOKUP(L29,merchant_master!$B$1:$D$6,3,0)</f>
        <v>Travel</v>
      </c>
    </row>
    <row r="30" spans="1:22" ht="15.6" x14ac:dyDescent="0.3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  <c r="K30" t="str">
        <f t="shared" si="1"/>
        <v>2026-03-04</v>
      </c>
      <c r="L30" t="str">
        <f t="shared" si="2"/>
        <v>Delta Travels</v>
      </c>
      <c r="M30" t="str">
        <f t="shared" si="3"/>
        <v>Chargeback</v>
      </c>
      <c r="N30" t="str">
        <f t="shared" si="4"/>
        <v>chargeback</v>
      </c>
      <c r="O30" s="3">
        <f t="shared" si="7"/>
        <v>58</v>
      </c>
      <c r="P30" s="3" t="str">
        <f>UPPER(TRIM(IF(H30="",VLOOKUP(L30,merchant_master!$B$1:$E$6,4,0),H30)))</f>
        <v>US</v>
      </c>
      <c r="Q30" s="3">
        <f t="array" ref="Q30">D30*INDEX(exchange_rates!$C:$C,MATCH(1,(exchange_rates!$A:$A=B30)*(exchange_rates!$B:$B=E30),0))</f>
        <v>2500</v>
      </c>
      <c r="R30" s="3">
        <f t="shared" si="5"/>
        <v>0</v>
      </c>
      <c r="S30" s="4">
        <f t="shared" si="6"/>
        <v>1</v>
      </c>
      <c r="T30" t="str">
        <f>VLOOKUP(L30,merchant_master!$B$1:$F$6,5,0)</f>
        <v>M004</v>
      </c>
      <c r="U30" t="str">
        <f>VLOOKUP(L30,merchant_master!$B$1:$C$6,2,0)</f>
        <v>Marcus Lee</v>
      </c>
      <c r="V30" t="str">
        <f>VLOOKUP(L30,merchant_master!$B$1:$D$6,3,0)</f>
        <v>Travel</v>
      </c>
    </row>
    <row r="31" spans="1:22" ht="15.6" x14ac:dyDescent="0.3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  <c r="K31" t="str">
        <f t="shared" si="1"/>
        <v>2026-03-06</v>
      </c>
      <c r="L31" t="str">
        <f t="shared" si="2"/>
        <v>Delta Travels</v>
      </c>
      <c r="M31" t="str">
        <f t="shared" si="3"/>
        <v>Failed E05 Timeout</v>
      </c>
      <c r="N31" t="str">
        <f t="shared" si="4"/>
        <v>failed</v>
      </c>
      <c r="O31" s="3">
        <f t="shared" si="7"/>
        <v>47</v>
      </c>
      <c r="P31" s="3" t="str">
        <f>UPPER(TRIM(IF(H31="",VLOOKUP(L31,merchant_master!$B$1:$E$6,4,0),H31)))</f>
        <v>US</v>
      </c>
      <c r="Q31" s="3">
        <f t="array" ref="Q31">D31*INDEX(exchange_rates!$C:$C,MATCH(1,(exchange_rates!$A:$A=B31)*(exchange_rates!$B:$B=E31),0))</f>
        <v>1800</v>
      </c>
      <c r="R31" s="3">
        <f t="shared" si="5"/>
        <v>0</v>
      </c>
      <c r="S31" s="4">
        <f t="shared" si="6"/>
        <v>0</v>
      </c>
      <c r="T31" t="str">
        <f>VLOOKUP(L31,merchant_master!$B$1:$F$6,5,0)</f>
        <v>M004</v>
      </c>
      <c r="U31" t="str">
        <f>VLOOKUP(L31,merchant_master!$B$1:$C$6,2,0)</f>
        <v>Marcus Lee</v>
      </c>
      <c r="V31" t="str">
        <f>VLOOKUP(L31,merchant_master!$B$1:$D$6,3,0)</f>
        <v>Travel</v>
      </c>
    </row>
  </sheetData>
  <autoFilter ref="A1:V1" xr:uid="{66F68673-B9AE-4BA8-9EC6-E96E04F89B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376B-E363-4BA0-AB6C-C93B3B194607}">
  <dimension ref="A1:F6"/>
  <sheetViews>
    <sheetView workbookViewId="0">
      <selection activeCell="F2" sqref="F2:F6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5.77734375" bestFit="1" customWidth="1"/>
    <col min="4" max="4" width="17" bestFit="1" customWidth="1"/>
    <col min="5" max="5" width="12.88671875" bestFit="1" customWidth="1"/>
  </cols>
  <sheetData>
    <row r="1" spans="1:6" x14ac:dyDescent="0.3">
      <c r="A1" t="s">
        <v>105</v>
      </c>
      <c r="B1" t="s">
        <v>2</v>
      </c>
      <c r="C1" t="s">
        <v>106</v>
      </c>
      <c r="D1" t="s">
        <v>107</v>
      </c>
      <c r="E1" t="s">
        <v>108</v>
      </c>
      <c r="F1" s="2" t="s">
        <v>105</v>
      </c>
    </row>
    <row r="2" spans="1:6" x14ac:dyDescent="0.3">
      <c r="A2" t="s">
        <v>109</v>
      </c>
      <c r="B2" t="s">
        <v>35</v>
      </c>
      <c r="C2" t="s">
        <v>110</v>
      </c>
      <c r="D2" t="s">
        <v>111</v>
      </c>
      <c r="E2" t="s">
        <v>15</v>
      </c>
      <c r="F2" t="str">
        <f>A2</f>
        <v>M001</v>
      </c>
    </row>
    <row r="3" spans="1:6" x14ac:dyDescent="0.3">
      <c r="A3" t="s">
        <v>112</v>
      </c>
      <c r="B3" t="s">
        <v>49</v>
      </c>
      <c r="C3" t="s">
        <v>113</v>
      </c>
      <c r="D3" t="s">
        <v>114</v>
      </c>
      <c r="E3" t="s">
        <v>15</v>
      </c>
      <c r="F3" t="str">
        <f t="shared" ref="F3:F6" si="0">A3</f>
        <v>M002</v>
      </c>
    </row>
    <row r="4" spans="1:6" x14ac:dyDescent="0.3">
      <c r="A4" t="s">
        <v>115</v>
      </c>
      <c r="B4" t="s">
        <v>82</v>
      </c>
      <c r="C4" t="s">
        <v>116</v>
      </c>
      <c r="D4" t="s">
        <v>117</v>
      </c>
      <c r="E4" t="s">
        <v>88</v>
      </c>
      <c r="F4" t="str">
        <f t="shared" si="0"/>
        <v>M003</v>
      </c>
    </row>
    <row r="5" spans="1:6" x14ac:dyDescent="0.3">
      <c r="A5" t="s">
        <v>118</v>
      </c>
      <c r="B5" t="s">
        <v>97</v>
      </c>
      <c r="C5" t="s">
        <v>119</v>
      </c>
      <c r="D5" t="s">
        <v>120</v>
      </c>
      <c r="E5" t="s">
        <v>99</v>
      </c>
      <c r="F5" t="str">
        <f t="shared" si="0"/>
        <v>M004</v>
      </c>
    </row>
    <row r="6" spans="1:6" x14ac:dyDescent="0.3">
      <c r="A6" t="s">
        <v>121</v>
      </c>
      <c r="B6" t="s">
        <v>86</v>
      </c>
      <c r="C6" t="s">
        <v>122</v>
      </c>
      <c r="D6" t="s">
        <v>123</v>
      </c>
      <c r="E6" t="s">
        <v>88</v>
      </c>
      <c r="F6" t="str">
        <f t="shared" si="0"/>
        <v>M005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F976-323A-422F-AFB4-160386DA63AC}">
  <dimension ref="A1:C19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124</v>
      </c>
      <c r="B1" t="s">
        <v>4</v>
      </c>
      <c r="C1" t="s">
        <v>125</v>
      </c>
    </row>
    <row r="2" spans="1:3" x14ac:dyDescent="0.3">
      <c r="A2" s="1">
        <v>46082</v>
      </c>
      <c r="B2" t="s">
        <v>12</v>
      </c>
      <c r="C2">
        <v>1.1900000000000001E-2</v>
      </c>
    </row>
    <row r="3" spans="1:3" x14ac:dyDescent="0.3">
      <c r="A3" s="1">
        <v>46082</v>
      </c>
      <c r="B3" t="s">
        <v>83</v>
      </c>
      <c r="C3">
        <v>1.08</v>
      </c>
    </row>
    <row r="4" spans="1:3" x14ac:dyDescent="0.3">
      <c r="A4" s="1">
        <v>46082</v>
      </c>
      <c r="B4" t="s">
        <v>94</v>
      </c>
      <c r="C4">
        <v>1</v>
      </c>
    </row>
    <row r="5" spans="1:3" x14ac:dyDescent="0.3">
      <c r="A5" s="1">
        <v>46083</v>
      </c>
      <c r="B5" t="s">
        <v>12</v>
      </c>
      <c r="C5">
        <v>1.2E-2</v>
      </c>
    </row>
    <row r="6" spans="1:3" x14ac:dyDescent="0.3">
      <c r="A6" s="1">
        <v>46083</v>
      </c>
      <c r="B6" t="s">
        <v>83</v>
      </c>
      <c r="C6">
        <v>1.0900000000000001</v>
      </c>
    </row>
    <row r="7" spans="1:3" x14ac:dyDescent="0.3">
      <c r="A7" s="1">
        <v>46083</v>
      </c>
      <c r="B7" t="s">
        <v>94</v>
      </c>
      <c r="C7">
        <v>1</v>
      </c>
    </row>
    <row r="8" spans="1:3" x14ac:dyDescent="0.3">
      <c r="A8" s="1">
        <v>46084</v>
      </c>
      <c r="B8" t="s">
        <v>12</v>
      </c>
      <c r="C8">
        <v>1.21E-2</v>
      </c>
    </row>
    <row r="9" spans="1:3" x14ac:dyDescent="0.3">
      <c r="A9" s="1">
        <v>46084</v>
      </c>
      <c r="B9" t="s">
        <v>83</v>
      </c>
      <c r="C9">
        <v>1.08</v>
      </c>
    </row>
    <row r="10" spans="1:3" x14ac:dyDescent="0.3">
      <c r="A10" s="1">
        <v>46084</v>
      </c>
      <c r="B10" t="s">
        <v>94</v>
      </c>
      <c r="C10">
        <v>1</v>
      </c>
    </row>
    <row r="11" spans="1:3" x14ac:dyDescent="0.3">
      <c r="A11" s="1">
        <v>46085</v>
      </c>
      <c r="B11" t="s">
        <v>12</v>
      </c>
      <c r="C11">
        <v>1.2E-2</v>
      </c>
    </row>
    <row r="12" spans="1:3" x14ac:dyDescent="0.3">
      <c r="A12" s="1">
        <v>46085</v>
      </c>
      <c r="B12" t="s">
        <v>83</v>
      </c>
      <c r="C12">
        <v>1.07</v>
      </c>
    </row>
    <row r="13" spans="1:3" x14ac:dyDescent="0.3">
      <c r="A13" s="1">
        <v>46085</v>
      </c>
      <c r="B13" t="s">
        <v>94</v>
      </c>
      <c r="C13">
        <v>1</v>
      </c>
    </row>
    <row r="14" spans="1:3" x14ac:dyDescent="0.3">
      <c r="A14" s="1">
        <v>46086</v>
      </c>
      <c r="B14" t="s">
        <v>12</v>
      </c>
      <c r="C14">
        <v>1.18E-2</v>
      </c>
    </row>
    <row r="15" spans="1:3" x14ac:dyDescent="0.3">
      <c r="A15" s="1">
        <v>46086</v>
      </c>
      <c r="B15" t="s">
        <v>83</v>
      </c>
      <c r="C15">
        <v>1.0900000000000001</v>
      </c>
    </row>
    <row r="16" spans="1:3" x14ac:dyDescent="0.3">
      <c r="A16" s="1">
        <v>46086</v>
      </c>
      <c r="B16" t="s">
        <v>94</v>
      </c>
      <c r="C16">
        <v>1</v>
      </c>
    </row>
    <row r="17" spans="1:3" x14ac:dyDescent="0.3">
      <c r="A17" s="1">
        <v>46087</v>
      </c>
      <c r="B17" t="s">
        <v>12</v>
      </c>
      <c r="C17">
        <v>1.1900000000000001E-2</v>
      </c>
    </row>
    <row r="18" spans="1:3" x14ac:dyDescent="0.3">
      <c r="A18" s="1">
        <v>46087</v>
      </c>
      <c r="B18" t="s">
        <v>83</v>
      </c>
      <c r="C18">
        <v>1.08</v>
      </c>
    </row>
    <row r="19" spans="1:3" x14ac:dyDescent="0.3">
      <c r="A19" s="1">
        <v>46087</v>
      </c>
      <c r="B19" t="s">
        <v>94</v>
      </c>
      <c r="C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BDD6-CF98-4915-BF43-A1A3D6733CCB}">
  <dimension ref="A3:H9"/>
  <sheetViews>
    <sheetView topLeftCell="B1" workbookViewId="0">
      <selection activeCell="E1" sqref="E1"/>
    </sheetView>
  </sheetViews>
  <sheetFormatPr defaultRowHeight="14.4" x14ac:dyDescent="0.3"/>
  <cols>
    <col min="1" max="1" width="12.5546875" bestFit="1" customWidth="1"/>
    <col min="2" max="2" width="31.21875" bestFit="1" customWidth="1"/>
    <col min="3" max="3" width="18.44140625" bestFit="1" customWidth="1"/>
    <col min="4" max="4" width="12.5546875" bestFit="1" customWidth="1"/>
    <col min="5" max="5" width="29.88671875" bestFit="1" customWidth="1"/>
    <col min="6" max="6" width="20.109375" bestFit="1" customWidth="1"/>
    <col min="7" max="7" width="21" bestFit="1" customWidth="1"/>
    <col min="8" max="9" width="19.33203125" bestFit="1" customWidth="1"/>
  </cols>
  <sheetData>
    <row r="3" spans="1:8" x14ac:dyDescent="0.3">
      <c r="A3" s="6" t="s">
        <v>130</v>
      </c>
      <c r="B3" t="s">
        <v>133</v>
      </c>
      <c r="D3" s="6" t="s">
        <v>130</v>
      </c>
      <c r="E3" t="s">
        <v>132</v>
      </c>
      <c r="F3" t="s">
        <v>134</v>
      </c>
      <c r="G3" t="s">
        <v>135</v>
      </c>
      <c r="H3" t="s">
        <v>136</v>
      </c>
    </row>
    <row r="4" spans="1:8" x14ac:dyDescent="0.3">
      <c r="A4" s="7" t="s">
        <v>35</v>
      </c>
      <c r="B4">
        <v>11</v>
      </c>
      <c r="D4" s="7" t="s">
        <v>35</v>
      </c>
      <c r="E4">
        <v>40812</v>
      </c>
      <c r="F4" s="5">
        <v>61.2</v>
      </c>
      <c r="G4">
        <v>2</v>
      </c>
      <c r="H4">
        <v>2</v>
      </c>
    </row>
    <row r="5" spans="1:8" x14ac:dyDescent="0.3">
      <c r="A5" s="7" t="s">
        <v>49</v>
      </c>
      <c r="B5">
        <v>11</v>
      </c>
      <c r="D5" s="7" t="s">
        <v>49</v>
      </c>
      <c r="E5">
        <v>41782</v>
      </c>
      <c r="F5" s="5">
        <v>69.36363636363636</v>
      </c>
      <c r="G5">
        <v>3</v>
      </c>
      <c r="H5">
        <v>5</v>
      </c>
    </row>
    <row r="6" spans="1:8" x14ac:dyDescent="0.3">
      <c r="A6" s="7" t="s">
        <v>82</v>
      </c>
      <c r="B6">
        <v>2</v>
      </c>
      <c r="D6" s="7" t="s">
        <v>82</v>
      </c>
      <c r="E6">
        <v>8640</v>
      </c>
      <c r="F6" s="5">
        <v>40</v>
      </c>
      <c r="G6">
        <v>0</v>
      </c>
      <c r="H6">
        <v>0</v>
      </c>
    </row>
    <row r="7" spans="1:8" x14ac:dyDescent="0.3">
      <c r="A7" s="7" t="s">
        <v>97</v>
      </c>
      <c r="B7">
        <v>4</v>
      </c>
      <c r="D7" s="7" t="s">
        <v>97</v>
      </c>
      <c r="E7">
        <v>14600</v>
      </c>
      <c r="F7" s="5">
        <v>48.75</v>
      </c>
      <c r="G7">
        <v>1</v>
      </c>
      <c r="H7">
        <v>1</v>
      </c>
    </row>
    <row r="8" spans="1:8" x14ac:dyDescent="0.3">
      <c r="A8" s="7" t="s">
        <v>86</v>
      </c>
      <c r="B8">
        <v>2</v>
      </c>
      <c r="D8" s="7" t="s">
        <v>86</v>
      </c>
      <c r="E8">
        <v>10246.000000000002</v>
      </c>
      <c r="F8" s="5">
        <v>54.5</v>
      </c>
      <c r="G8">
        <v>1</v>
      </c>
      <c r="H8">
        <v>1</v>
      </c>
    </row>
    <row r="9" spans="1:8" x14ac:dyDescent="0.3">
      <c r="A9" s="7" t="s">
        <v>131</v>
      </c>
      <c r="B9">
        <v>30</v>
      </c>
      <c r="D9" s="7" t="s">
        <v>131</v>
      </c>
      <c r="E9">
        <v>116080</v>
      </c>
      <c r="F9">
        <v>60.655172413793103</v>
      </c>
      <c r="G9">
        <v>7</v>
      </c>
      <c r="H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transactions_raw</vt:lpstr>
      <vt:lpstr>merchant_master</vt:lpstr>
      <vt:lpstr>exchange_rates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shivva rahul</dc:creator>
  <cp:lastModifiedBy>shivva rahul</cp:lastModifiedBy>
  <dcterms:created xsi:type="dcterms:W3CDTF">2026-05-09T12:27:46Z</dcterms:created>
  <dcterms:modified xsi:type="dcterms:W3CDTF">2026-05-09T13:51:06Z</dcterms:modified>
</cp:coreProperties>
</file>